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5"/>
    <sheet state="visible" name="2. CMAS - Tertiary Denitrif." sheetId="2" r:id="rId6"/>
  </sheets>
  <definedNames>
    <definedName name="Ne">'2. CMAS - Tertiary Denitrif.'!$H$13</definedName>
    <definedName name="TankNumber">'2. CMAS - Tertiary Denitrif.'!$C$20</definedName>
    <definedName name="NO3No">'2. CMAS - Tertiary Denitrif.'!$C$14</definedName>
    <definedName name="fd">'2. CMAS - Tertiary Denitrif.'!$H$14</definedName>
    <definedName name="Qo">'2. CMAS - Tertiary Denitrif.'!$C$12</definedName>
    <definedName name="TSSe">'2. CMAS - Tertiary Denitrif.'!$C$15</definedName>
    <definedName name="Tww">'2. CMAS - Tertiary Denitrif.'!$H$12</definedName>
    <definedName name="TSSo">'2. CMAS - Tertiary Denitrif.'!$C$13</definedName>
    <definedName name="SRT">'2. CMAS - Tertiary Denitrif.'!$C$18</definedName>
    <definedName name="TSSw">'2. CMAS - Tertiary Denitrif.'!$H$15</definedName>
    <definedName name="MLSS">'2. CMAS - Tertiary Denitrif.'!$H$19</definedName>
  </definedNames>
  <calcPr/>
</workbook>
</file>

<file path=xl/sharedStrings.xml><?xml version="1.0" encoding="utf-8"?>
<sst xmlns="http://schemas.openxmlformats.org/spreadsheetml/2006/main" count="147" uniqueCount="121">
  <si>
    <t>Workbook Contents</t>
  </si>
  <si>
    <r>
      <rPr>
        <rFont val="Arial"/>
        <b/>
        <color theme="1"/>
        <sz val="12.0"/>
      </rPr>
      <t>NOTE</t>
    </r>
    <r>
      <rPr>
        <rFont val="Arial"/>
        <b val="0"/>
        <color theme="1"/>
        <sz val="12.0"/>
      </rPr>
      <t>:  The calculations in this workbook follows the steps used in Example  8-9 in:</t>
    </r>
  </si>
  <si>
    <t>Click on tabs at the bottom of the screen to access the following:</t>
  </si>
  <si>
    <t xml:space="preserve"> Metcalf &amp; Eddy, Inc, (Revised by Tchobanoglous, G, Burton, F.L., Stensel, H.D.), 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</si>
  <si>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</si>
  <si>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color theme="1"/>
        <sz val="11.0"/>
      </rPr>
      <t xml:space="preserve">  </t>
    </r>
    <r>
      <rPr>
        <rFont val="Arial"/>
        <i/>
        <color theme="1"/>
        <sz val="11.0"/>
      </rPr>
      <t xml:space="preserve">Wastewater Engineering, Treatment and Reuse, </t>
    </r>
    <r>
      <rPr>
        <rFont val="Arial"/>
        <color theme="1"/>
        <sz val="11.0"/>
      </rPr>
      <t>4th Ed., New York, NY, 2003.</t>
    </r>
  </si>
  <si>
    <r>
      <rPr>
        <rFont val="Arial"/>
        <b/>
        <color theme="1"/>
        <sz val="12.0"/>
      </rPr>
      <t xml:space="preserve">Tab 2. </t>
    </r>
    <r>
      <rPr>
        <rFont val="Arial"/>
        <color theme="1"/>
        <sz val="12.0"/>
      </rPr>
      <t>CMAS</t>
    </r>
    <r>
      <rPr>
        <rFont val="Arial"/>
        <b/>
        <color theme="1"/>
        <sz val="12.0"/>
      </rPr>
      <t xml:space="preserve"> -</t>
    </r>
    <r>
      <rPr>
        <rFont val="Arial"/>
        <color theme="1"/>
        <sz val="12.0"/>
      </rPr>
      <t xml:space="preserve"> Tertiary Anoxic</t>
    </r>
    <r>
      <rPr>
        <rFont val="Arial"/>
        <b/>
        <color theme="1"/>
        <sz val="12.0"/>
      </rPr>
      <t xml:space="preserve"> </t>
    </r>
    <r>
      <rPr>
        <rFont val="Arial"/>
        <color theme="1"/>
        <sz val="12.0"/>
      </rPr>
      <t>Denitrification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</si>
  <si>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</si>
  <si>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</si>
  <si>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</si>
  <si>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</si>
  <si>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</si>
  <si>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</si>
  <si>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</si>
  <si>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</si>
  <si>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</si>
  <si>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</si>
  <si>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</si>
  <si>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</si>
  <si>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</si>
  <si>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2015 Harlan H. Bengtson. All Rights Reserved.</t>
  </si>
  <si>
    <t>Completely Mixed Activated Sludge Denitrification Calculations - S.I. units</t>
  </si>
  <si>
    <t xml:space="preserve">    Tertiary Denitrification</t>
  </si>
  <si>
    <t>This spreadsheet makes the design calculations for a postanoxic, tertiary denitrification basin</t>
  </si>
  <si>
    <t>to follow a treatment process that produces a nitrified effluent that serves as influent to this process.</t>
  </si>
  <si>
    <t>process as shown in the diagram at the right.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</si>
  <si>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</si>
  <si>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User Inputs 1 - Wastewater Parameters</t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</si>
  <si>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</si>
  <si>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</si>
  <si>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Anoxic Tank Temp., </t>
    </r>
    <r>
      <rPr>
        <rFont val="Aria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</si>
  <si>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</si>
  <si>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 xml:space="preserve"> Influent TSS,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</si>
  <si>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t>mg/L</t>
  </si>
  <si>
    <r>
      <rPr>
        <rFont val="Arial"/>
        <color theme="1"/>
        <sz val="10.0"/>
      </rPr>
      <t xml:space="preserve">   Target Effl.  nitrate conc. </t>
    </r>
    <r>
      <rPr>
        <rFont val="Arial"/>
        <b/>
        <color theme="1"/>
        <sz val="11.0"/>
      </rPr>
      <t>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</si>
  <si>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Influent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-N, </t>
    </r>
    <r>
      <rPr>
        <rFont val="Arial"/>
        <b/>
        <color theme="1"/>
        <sz val="12.0"/>
      </rPr>
      <t>NO</t>
    </r>
    <r>
      <rPr>
        <rFont val="Arial"/>
        <b/>
        <color theme="1"/>
        <sz val="12.0"/>
        <vertAlign val="subscript"/>
      </rPr>
      <t>3</t>
    </r>
    <r>
      <rPr>
        <rFont val="Arial"/>
        <b/>
        <color theme="1"/>
        <sz val="12.0"/>
      </rPr>
      <t>-N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</si>
  <si>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Resid. biomass fract., </t>
    </r>
    <r>
      <rPr>
        <rFont val="Arial"/>
        <b/>
        <color theme="1"/>
        <sz val="12.0"/>
      </rPr>
      <t>f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</si>
  <si>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Est. Effl. TSS,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</si>
  <si>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Waste/recycle A.S. conc. </t>
    </r>
    <r>
      <rPr>
        <rFont val="Arial"/>
        <b/>
        <color theme="1"/>
        <sz val="11.0"/>
      </rPr>
      <t>TSS</t>
    </r>
    <r>
      <rPr>
        <rFont val="Arial"/>
        <b/>
        <color theme="1"/>
        <sz val="11.0"/>
        <vertAlign val="subscript"/>
      </rPr>
      <t>w</t>
    </r>
    <r>
      <rPr>
        <rFont val="Arial"/>
        <color theme="1"/>
        <sz val="10.0"/>
      </rPr>
      <t xml:space="preserve">  =</t>
    </r>
  </si>
  <si>
    <t>User Inputs 2 - Design Parameters</t>
  </si>
  <si>
    <t>Mixing energy</t>
  </si>
  <si>
    <r>
      <rPr>
        <rFont val="Arial"/>
        <color theme="1"/>
        <sz val="10.0"/>
      </rPr>
      <t xml:space="preserve">       Design SRT,  </t>
    </r>
    <r>
      <rPr>
        <rFont val="Arial"/>
        <b/>
        <color theme="1"/>
        <sz val="11.0"/>
      </rPr>
      <t xml:space="preserve">SRT </t>
    </r>
    <r>
      <rPr>
        <rFont val="Arial"/>
        <color theme="1"/>
        <sz val="10.0"/>
      </rPr>
      <t xml:space="preserve"> =</t>
    </r>
  </si>
  <si>
    <t>days</t>
  </si>
  <si>
    <t xml:space="preserve">         for anoxic reactor  =</t>
  </si>
  <si>
    <r>
      <rPr>
        <rFont val="Arial"/>
        <color theme="1"/>
        <sz val="10.0"/>
      </rPr>
      <t xml:space="preserve">  kW/10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m</t>
    </r>
    <r>
      <rPr>
        <rFont val="Arial"/>
        <color theme="1"/>
        <sz val="10.0"/>
        <vertAlign val="superscript"/>
      </rPr>
      <t>3</t>
    </r>
  </si>
  <si>
    <t xml:space="preserve">            Tank Freeboard  =</t>
  </si>
  <si>
    <t>m</t>
  </si>
  <si>
    <r>
      <rPr>
        <rFont val="Arial"/>
        <color theme="1"/>
        <sz val="10.0"/>
      </rPr>
      <t xml:space="preserve"> Design MLSS, </t>
    </r>
    <r>
      <rPr>
        <rFont val="Arial"/>
        <b/>
        <color theme="1"/>
        <sz val="11.0"/>
      </rPr>
      <t>MLSS</t>
    </r>
    <r>
      <rPr>
        <rFont val="Arial"/>
        <color theme="1"/>
        <sz val="10.0"/>
      </rPr>
      <t xml:space="preserve"> =</t>
    </r>
  </si>
  <si>
    <t xml:space="preserve">         Number of Tanks =</t>
  </si>
  <si>
    <r>
      <rPr>
        <rFont val="Arial"/>
        <color theme="1"/>
        <sz val="10.0"/>
      </rPr>
      <t xml:space="preserve">  Reaer. Det. Time, </t>
    </r>
    <r>
      <rPr>
        <rFont val="Symbo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reaer</t>
    </r>
    <r>
      <rPr>
        <rFont val="Arial"/>
        <color theme="1"/>
        <sz val="10.0"/>
      </rPr>
      <t xml:space="preserve">  =</t>
    </r>
  </si>
  <si>
    <t>min</t>
  </si>
  <si>
    <t xml:space="preserve">      Liquid Depth in Tank =</t>
  </si>
  <si>
    <t xml:space="preserve">         Tank L:W ratio =</t>
  </si>
  <si>
    <t xml:space="preserve">       (target L:W - only used if tank is rectangular)</t>
  </si>
  <si>
    <t>User Inputs 3 - Kinetic Coefficients for Denitrification with Methanol</t>
  </si>
  <si>
    <r>
      <rPr>
        <rFont val="Arial"/>
        <color theme="1"/>
        <sz val="10.0"/>
      </rPr>
      <t>at 10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</si>
  <si>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>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</si>
  <si>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 xml:space="preserve">                     Synth. Yield Coeff, </t>
    </r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(g VSS/g bCOD)  =</t>
    </r>
  </si>
  <si>
    <r>
      <rPr>
        <rFont val="Arial"/>
        <color theme="1"/>
        <sz val="10.0"/>
      </rPr>
      <t xml:space="preserve">                                  Half Veloc.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sD</t>
    </r>
    <r>
      <rPr>
        <rFont val="Arial"/>
        <color theme="1"/>
        <sz val="10.0"/>
      </rPr>
      <t xml:space="preserve">  (mg/L)  =</t>
    </r>
  </si>
  <si>
    <r>
      <rPr>
        <rFont val="Arial"/>
        <color theme="1"/>
        <sz val="10.0"/>
      </rPr>
      <t xml:space="preserve">               Max spec. grwth rate,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mD</t>
    </r>
    <r>
      <rPr>
        <rFont val="Arial"/>
        <color theme="1"/>
        <sz val="10.0"/>
      </rPr>
      <t xml:space="preserve"> (gVSS/d/gVSS)  =</t>
    </r>
  </si>
  <si>
    <r>
      <rPr>
        <rFont val="Arial"/>
        <color theme="1"/>
        <sz val="10.0"/>
      </rPr>
      <t xml:space="preserve">              Endog. decay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dD</t>
    </r>
    <r>
      <rPr>
        <rFont val="Arial"/>
        <color theme="1"/>
        <sz val="10.0"/>
      </rPr>
      <t xml:space="preserve"> (g VSS/d/g VSS)  =</t>
    </r>
  </si>
  <si>
    <r>
      <rPr>
        <rFont val="Arial"/>
        <color theme="1"/>
        <sz val="10.0"/>
      </rPr>
      <t xml:space="preserve">      Max spec. substrate util. rate, </t>
    </r>
    <r>
      <rPr>
        <rFont val="Arial"/>
        <b/>
        <color theme="1"/>
        <sz val="12.0"/>
      </rPr>
      <t>k</t>
    </r>
    <r>
      <rPr>
        <rFont val="Arial"/>
        <color theme="1"/>
        <sz val="10.0"/>
      </rPr>
      <t xml:space="preserve"> (g VSS/d/g VSS)  =</t>
    </r>
  </si>
  <si>
    <r>
      <rPr>
        <rFont val="Arial"/>
        <b/>
        <color theme="1"/>
        <sz val="12.0"/>
      </rPr>
      <t xml:space="preserve">Equations used for the calculations:  </t>
    </r>
    <r>
      <rPr>
        <rFont val="Arial"/>
        <b val="0"/>
        <color theme="1"/>
        <sz val="11.0"/>
      </rPr>
      <t>(note that conversion factors are needed in some of the equations)</t>
    </r>
  </si>
  <si>
    <t>Calculations - Postanoxic basin design for denitrification</t>
  </si>
  <si>
    <r>
      <rPr>
        <rFont val="Arial"/>
        <b/>
        <color theme="1"/>
        <sz val="12.0"/>
      </rPr>
      <t>S = K</t>
    </r>
    <r>
      <rPr>
        <rFont val="Arial"/>
        <b/>
        <color theme="1"/>
        <sz val="12.0"/>
        <vertAlign val="subscript"/>
      </rPr>
      <t>s</t>
    </r>
    <r>
      <rPr>
        <rFont val="Arial"/>
        <b/>
        <color theme="1"/>
        <sz val="12.0"/>
      </rPr>
      <t>[1 + (k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)SRT]/[SRT(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</t>
    </r>
    <r>
      <rPr>
        <rFont val="Arial"/>
        <b/>
        <color theme="1"/>
        <sz val="12.0"/>
      </rPr>
      <t xml:space="preserve"> - 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 - 1</t>
    </r>
  </si>
  <si>
    <r>
      <rPr>
        <rFont val="Arial"/>
        <b/>
        <color theme="1"/>
        <sz val="11.0"/>
      </rPr>
      <t xml:space="preserve">  1.  Calculate kinetic coefficients at ww temperature, T</t>
    </r>
    <r>
      <rPr>
        <rFont val="Arial"/>
        <b/>
        <color theme="1"/>
        <sz val="11.0"/>
        <vertAlign val="subscript"/>
      </rPr>
      <t xml:space="preserve">ww  </t>
    </r>
    <r>
      <rPr>
        <rFont val="Arial"/>
        <b/>
        <color theme="1"/>
        <sz val="11.0"/>
      </rPr>
      <t>(by interpolation)</t>
    </r>
  </si>
  <si>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 xml:space="preserve">n </t>
    </r>
    <r>
      <rPr>
        <rFont val="Arial"/>
        <b/>
        <color theme="1"/>
        <sz val="12.0"/>
      </rPr>
      <t xml:space="preserve"> = Y/[1 + (k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)SRT]</t>
    </r>
  </si>
  <si>
    <r>
      <rPr>
        <rFont val="Arial"/>
        <color theme="1"/>
        <sz val="10.0"/>
      </rPr>
      <t xml:space="preserve">  Endog. decay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dD</t>
    </r>
    <r>
      <rPr>
        <rFont val="Arial"/>
        <color theme="1"/>
        <sz val="10.0"/>
      </rPr>
      <t xml:space="preserve">  =</t>
    </r>
  </si>
  <si>
    <t xml:space="preserve">  g VSS/d/g VSS</t>
  </si>
  <si>
    <r>
      <rPr>
        <rFont val="Arial"/>
        <color theme="1"/>
        <sz val="10.0"/>
      </rPr>
      <t xml:space="preserve">   Synth. Yield Coeff, </t>
    </r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 =</t>
    </r>
  </si>
  <si>
    <t xml:space="preserve">  g VSS/g bCOD</t>
  </si>
  <si>
    <r>
      <rPr>
        <rFont val="Arial"/>
        <color theme="1"/>
        <sz val="10.0"/>
      </rPr>
      <t xml:space="preserve"> 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 = 2.86/(1 - 1.42Y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)</t>
    </r>
  </si>
  <si>
    <r>
      <rPr>
        <rFont val="Arial"/>
        <color theme="1"/>
        <sz val="10.0"/>
      </rPr>
      <t xml:space="preserve">Max spec. substr. Utiliz., </t>
    </r>
    <r>
      <rPr>
        <rFont val="Arial"/>
        <b/>
        <color theme="1"/>
        <sz val="12.0"/>
      </rPr>
      <t>k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</si>
  <si>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Half Veloc.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sD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</si>
  <si>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1.0"/>
      </rPr>
      <t>Methanol dose (as COD)  =</t>
    </r>
    <r>
      <rPr>
        <rFont val="Arial"/>
        <color theme="1"/>
        <sz val="10.0"/>
      </rPr>
      <t xml:space="preserve">  (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-N)(NOx - N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)</t>
    </r>
  </si>
  <si>
    <t xml:space="preserve">  2.  Calculate Methanol Requirement</t>
  </si>
  <si>
    <t>Methanol dose = Methanol dose (as COD)/(1.5 g COD/g methanol)</t>
  </si>
  <si>
    <r>
      <rPr>
        <rFont val="Arial"/>
        <color theme="1"/>
        <sz val="10.0"/>
      </rPr>
      <t xml:space="preserve"> Resid. Meth. Conc in effl., </t>
    </r>
    <r>
      <rPr>
        <rFont val="Arial"/>
        <b/>
        <color theme="1"/>
        <sz val="11.0"/>
      </rPr>
      <t>S</t>
    </r>
    <r>
      <rPr>
        <rFont val="Arial"/>
        <color theme="1"/>
        <sz val="10.0"/>
      </rPr>
      <t>:</t>
    </r>
  </si>
  <si>
    <t>Methanol dose (as COD) =</t>
  </si>
  <si>
    <t>mg/L COD</t>
  </si>
  <si>
    <t>Daily Methanol needed = 8.34 (Methanol dose in mg/L)Q</t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</si>
  <si>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1.0"/>
      </rPr>
      <t>Y</t>
    </r>
    <r>
      <rPr>
        <rFont val="Arial"/>
        <b/>
        <color theme="1"/>
        <sz val="11.0"/>
        <vertAlign val="subscript"/>
      </rPr>
      <t>n</t>
    </r>
    <r>
      <rPr>
        <rFont val="Arial"/>
        <color theme="1"/>
        <sz val="10.0"/>
      </rPr>
      <t xml:space="preserve">  =</t>
    </r>
  </si>
  <si>
    <t xml:space="preserve"> g VSS/g bCOD</t>
  </si>
  <si>
    <t xml:space="preserve">           Methanol dose =</t>
  </si>
  <si>
    <r>
      <rPr>
        <rFont val="Arial"/>
        <color theme="1"/>
        <sz val="10.0"/>
      </rPr>
      <t>mg/L CH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OH</t>
    </r>
  </si>
  <si>
    <r>
      <rPr>
        <rFont val="Arial"/>
        <color theme="1"/>
        <sz val="10.0"/>
      </rPr>
      <t xml:space="preserve">          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</t>
    </r>
    <r>
      <rPr>
        <rFont val="Arial"/>
        <color theme="1"/>
        <sz val="10.0"/>
      </rPr>
      <t xml:space="preserve"> =</t>
    </r>
  </si>
  <si>
    <t>g/g</t>
  </si>
  <si>
    <t>Daily Methanol needed =</t>
  </si>
  <si>
    <t>kg/d</t>
  </si>
  <si>
    <t xml:space="preserve">  3.  Calculate Anoxic Tank Volume, Dimensions and Detention Time</t>
  </si>
  <si>
    <t>(User Input needed in the Blue Cells)</t>
  </si>
  <si>
    <r>
      <rPr>
        <rFont val="Arial"/>
        <color theme="1"/>
        <sz val="10.0"/>
      </rPr>
      <t xml:space="preserve"> Solids prod. rate,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X,TSS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</si>
  <si>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Min.  Anoxic Tank Volume,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</si>
  <si>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</si>
  <si>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Click on green box and then  on</t>
  </si>
  <si>
    <r>
      <rPr>
        <rFont val="Arial"/>
        <color theme="1"/>
        <sz val="10.0"/>
      </rPr>
      <t xml:space="preserve"> Min. Vol. per tank,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</si>
  <si>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</si>
  <si>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t xml:space="preserve">  arrow to Select Tank Shape:</t>
  </si>
  <si>
    <t>rectangular</t>
  </si>
  <si>
    <t xml:space="preserve">           Tank Wall Height =</t>
  </si>
  <si>
    <t xml:space="preserve">    Actual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</si>
  <si>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</si>
  <si>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</si>
  <si>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>hr</t>
  </si>
  <si>
    <t>Anoxic Tank Mixing Power =</t>
  </si>
  <si>
    <t>kW</t>
  </si>
  <si>
    <t xml:space="preserve">  4.  Calculate Reaeration Volume, and Dimensions</t>
  </si>
  <si>
    <t xml:space="preserve">       (User Input is needed in the Blue Cells.  The shape is kept the same as the anoxic tank(s).)</t>
  </si>
  <si>
    <r>
      <rPr>
        <rFont val="Arial"/>
        <color theme="1"/>
        <sz val="10.0"/>
      </rPr>
      <t xml:space="preserve"> Reaertion Volume,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reaer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</si>
  <si>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</si>
  <si>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Min. Reaer. Vol/tank,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</si>
  <si>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</si>
  <si>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</si>
  <si>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</si>
  <si>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 5.  Calculate Sludge Recycle Rate and Sludge Wasting Rate</t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</si>
  <si>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r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  <vertAlign val="subscript"/>
      </rPr>
      <t>o</t>
    </r>
    <r>
      <rPr>
        <rFont val="Arial"/>
        <b val="0"/>
        <color theme="1"/>
        <sz val="12.0"/>
      </rPr>
      <t>(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o</t>
    </r>
    <r>
      <rPr>
        <rFont val="Arial"/>
        <b val="0"/>
        <color theme="1"/>
        <sz val="12.0"/>
      </rPr>
      <t>)/(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>)</t>
    </r>
  </si>
  <si>
    <r>
      <rPr>
        <rFont val="Arial"/>
        <color theme="1"/>
        <sz val="10.0"/>
      </rPr>
      <t xml:space="preserve"> A.S. Recycle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</si>
  <si>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</si>
  <si>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Waste A.S.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w2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</si>
  <si>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</si>
  <si>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[(V</t>
    </r>
    <r>
      <rPr>
        <rFont val="Arial"/>
        <b val="0"/>
        <color theme="1"/>
        <sz val="12.0"/>
      </rPr>
      <t>*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>/</t>
    </r>
    <r>
      <rPr>
        <rFont val="Arial"/>
        <b/>
        <color theme="1"/>
        <sz val="12.0"/>
      </rPr>
      <t>SRT) - Q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]/(TSSw - TSSe)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</si>
</sst>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color theme="1"/>
      <name val="Arial"/>
      <scheme val="minor"/>
    </font>
    <font>
      <b/>
      <sz val="10.0"/>
      <color rgb="FF000080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b/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center" wrapText="0"/>
    </xf>
    <xf borderId="9" fillId="2" fontId="2" numFmtId="0" xfId="0" applyAlignment="1" applyBorder="1" applyFill="1" applyFont="1">
      <alignment shrinkToFit="0" vertical="bottom" wrapText="0"/>
    </xf>
    <xf borderId="10" fillId="2" fontId="8" numFmtId="0" xfId="0" applyAlignment="1" applyBorder="1" applyFont="1">
      <alignment shrinkToFit="0" vertical="bottom" wrapText="0"/>
    </xf>
    <xf borderId="11" fillId="2" fontId="8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12" fillId="2" fontId="8" numFmtId="1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12" fillId="2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2" fillId="2" fontId="8" numFmtId="164" xfId="0" applyAlignment="1" applyBorder="1" applyFont="1" applyNumberFormat="1">
      <alignment horizontal="center" shrinkToFit="0" vertical="bottom" wrapText="0"/>
    </xf>
    <xf borderId="0" fillId="0" fontId="15" numFmtId="0" xfId="0" applyFont="1"/>
    <xf borderId="0" fillId="0" fontId="16" numFmtId="0" xfId="0" applyAlignment="1" applyFont="1">
      <alignment shrinkToFit="0" vertical="top" wrapText="0"/>
    </xf>
    <xf borderId="0" fillId="0" fontId="8" numFmtId="0" xfId="0" applyAlignment="1" applyFont="1">
      <alignment horizontal="left" shrinkToFit="0" vertical="center" wrapText="0"/>
    </xf>
    <xf borderId="0" fillId="0" fontId="17" numFmtId="0" xfId="0" applyAlignment="1" applyFont="1">
      <alignment shrinkToFit="0" vertical="top" wrapText="0"/>
    </xf>
    <xf borderId="12" fillId="3" fontId="8" numFmtId="165" xfId="0" applyAlignment="1" applyBorder="1" applyFill="1" applyFont="1" applyNumberFormat="1">
      <alignment horizontal="center" shrinkToFit="0" vertical="bottom" wrapText="0"/>
    </xf>
    <xf borderId="12" fillId="3" fontId="8" numFmtId="2" xfId="0" applyAlignment="1" applyBorder="1" applyFont="1" applyNumberFormat="1">
      <alignment horizontal="center" shrinkToFit="0" vertical="bottom" wrapText="0"/>
    </xf>
    <xf borderId="12" fillId="3" fontId="8" numFmtId="164" xfId="0" applyAlignment="1" applyBorder="1" applyFont="1" applyNumberForma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12" fillId="3" fontId="8" numFmtId="1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top" wrapText="0"/>
    </xf>
    <xf borderId="12" fillId="3" fontId="8" numFmtId="3" xfId="0" applyAlignment="1" applyBorder="1" applyFont="1" applyNumberFormat="1">
      <alignment horizontal="center" shrinkToFit="0" vertical="bottom" wrapText="0"/>
    </xf>
    <xf borderId="13" fillId="0" fontId="19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15" fillId="0" fontId="8" numFmtId="0" xfId="0" applyAlignment="1" applyBorder="1" applyFont="1">
      <alignment shrinkToFit="0" vertical="bottom" wrapText="0"/>
    </xf>
    <xf borderId="16" fillId="0" fontId="19" numFmtId="0" xfId="0" applyAlignment="1" applyBorder="1" applyFont="1">
      <alignment shrinkToFit="0" vertical="center" wrapText="0"/>
    </xf>
    <xf borderId="17" fillId="0" fontId="19" numFmtId="0" xfId="0" applyAlignment="1" applyBorder="1" applyFont="1">
      <alignment shrinkToFit="0" vertical="bottom" wrapText="0"/>
    </xf>
    <xf borderId="18" fillId="0" fontId="8" numFmtId="0" xfId="0" applyAlignment="1" applyBorder="1" applyFont="1">
      <alignment shrinkToFit="0" vertical="bottom" wrapText="0"/>
    </xf>
    <xf borderId="19" fillId="4" fontId="17" numFmtId="0" xfId="0" applyAlignment="1" applyBorder="1" applyFill="1" applyFont="1">
      <alignment horizontal="center" shrinkToFit="0" vertical="center" wrapText="0"/>
    </xf>
    <xf borderId="20" fillId="0" fontId="20" numFmtId="0" xfId="0" applyBorder="1" applyFont="1"/>
    <xf borderId="0" fillId="0" fontId="18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</xdr:row>
      <xdr:rowOff>161925</xdr:rowOff>
    </xdr:from>
    <xdr:ext cx="3352800" cy="2838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C1" s="1" t="s">
        <v>0</v>
      </c>
    </row>
    <row r="2" ht="15.75" customHeight="1">
      <c r="A2" s="2"/>
      <c r="J2" s="2" t="s">
        <v>1</v>
      </c>
    </row>
    <row r="3" ht="15.0" customHeight="1">
      <c r="A3" s="3" t="s">
        <v>2</v>
      </c>
    </row>
    <row r="4" ht="15.0" customHeight="1">
      <c r="A4" s="3"/>
      <c r="K4" s="4" t="s">
        <v>3</v>
      </c>
    </row>
    <row r="5" ht="15.75" customHeight="1">
      <c r="A5" s="3"/>
      <c r="B5" s="3" t="s">
        <v>4</v>
      </c>
      <c r="K5" s="4" t="s">
        <v>5</v>
      </c>
    </row>
    <row r="6" ht="15.0" customHeight="1">
      <c r="A6" s="3"/>
    </row>
    <row r="7" ht="15.75" customHeight="1">
      <c r="A7" s="3"/>
      <c r="B7" s="3" t="s">
        <v>6</v>
      </c>
    </row>
    <row r="8" ht="15.0" customHeight="1">
      <c r="A8" s="3"/>
      <c r="B8" s="3"/>
    </row>
    <row r="9" ht="15.0" customHeight="1">
      <c r="A9" s="3"/>
      <c r="B9" s="3"/>
    </row>
    <row r="10" ht="15.0" customHeight="1">
      <c r="A10" s="3"/>
      <c r="B10" s="3"/>
    </row>
    <row r="11" ht="15.75" customHeight="1">
      <c r="A11" s="5" t="s">
        <v>7</v>
      </c>
      <c r="B11" s="3"/>
    </row>
    <row r="12" ht="15.0" customHeight="1">
      <c r="A12" s="6" t="s">
        <v>8</v>
      </c>
      <c r="B12" s="3"/>
    </row>
    <row r="13" ht="15.0" customHeight="1">
      <c r="A13" s="6" t="s">
        <v>9</v>
      </c>
      <c r="B13" s="3"/>
    </row>
    <row r="14" ht="15.0" customHeight="1">
      <c r="A14" s="6" t="s">
        <v>10</v>
      </c>
      <c r="B14" s="3"/>
    </row>
    <row r="15" ht="15.0" customHeight="1">
      <c r="A15" s="6" t="s">
        <v>11</v>
      </c>
    </row>
    <row r="16" ht="17.25" customHeight="1">
      <c r="A16" s="6" t="s">
        <v>12</v>
      </c>
      <c r="B16" s="3"/>
    </row>
    <row r="17" ht="15.0" customHeight="1">
      <c r="A17" s="6" t="s">
        <v>13</v>
      </c>
      <c r="B17" s="3"/>
    </row>
    <row r="18" ht="15.0" customHeight="1">
      <c r="A18" s="6" t="s">
        <v>14</v>
      </c>
    </row>
    <row r="19" ht="24.75" customHeight="1">
      <c r="A19" s="6" t="s">
        <v>15</v>
      </c>
    </row>
    <row r="20" ht="15.75" customHeight="1">
      <c r="A20" s="7"/>
      <c r="B20" s="8"/>
    </row>
    <row r="21" ht="12.75" customHeight="1">
      <c r="B21" s="8"/>
    </row>
    <row r="22" ht="15.75" customHeight="1">
      <c r="A22" s="2" t="s">
        <v>16</v>
      </c>
      <c r="B22" s="8"/>
    </row>
    <row r="23" ht="15.75" customHeight="1">
      <c r="A23" s="7" t="s">
        <v>17</v>
      </c>
      <c r="B23" s="8"/>
    </row>
    <row r="24" ht="12.75" customHeight="1">
      <c r="B24" s="8"/>
    </row>
    <row r="25" ht="12.75" customHeight="1">
      <c r="B25" s="8"/>
    </row>
    <row r="26" ht="13.5" customHeight="1">
      <c r="B26" s="8"/>
    </row>
    <row r="27" ht="20.25" customHeight="1">
      <c r="B27" s="9"/>
      <c r="C27" s="10"/>
      <c r="D27" s="10"/>
      <c r="E27" s="11"/>
      <c r="F27" s="11"/>
      <c r="G27" s="12"/>
      <c r="H27" s="10"/>
      <c r="I27" s="13"/>
    </row>
    <row r="28" ht="23.25" customHeight="1">
      <c r="B28" s="14" t="s">
        <v>18</v>
      </c>
      <c r="C28" s="15"/>
      <c r="D28" s="15"/>
      <c r="E28" s="16"/>
      <c r="F28" s="16"/>
      <c r="G28" s="15"/>
      <c r="H28" s="17"/>
      <c r="I28" s="18"/>
    </row>
    <row r="29" ht="18.0" customHeight="1">
      <c r="B29" s="19"/>
      <c r="C29" s="17"/>
      <c r="D29" s="20" t="s">
        <v>19</v>
      </c>
      <c r="I29" s="18"/>
    </row>
    <row r="30" ht="21.0" customHeight="1">
      <c r="B30" s="21"/>
      <c r="C30" s="22"/>
      <c r="D30" s="22"/>
      <c r="E30" s="22"/>
      <c r="F30" s="22"/>
      <c r="G30" s="22"/>
      <c r="H30" s="22"/>
      <c r="I30" s="23"/>
    </row>
    <row r="31" ht="12.75" customHeight="1"/>
    <row r="32" ht="12.75" customHeight="1">
      <c r="B32" s="24" t="s">
        <v>20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29:H29"/>
  </mergeCells>
  <hyperlinks>
    <hyperlink r:id="rId1" ref="D29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4.13"/>
    <col customWidth="1" min="3" max="3" width="11.0"/>
    <col customWidth="1" min="4" max="4" width="8.0"/>
    <col customWidth="1" min="5" max="5" width="6.13"/>
    <col customWidth="1" min="6" max="6" width="12.0"/>
    <col customWidth="1" min="7" max="7" width="13.0"/>
    <col customWidth="1" min="8" max="8" width="11.25"/>
    <col customWidth="1" min="9" max="9" width="11.75"/>
    <col customWidth="1" min="10" max="26" width="8.0"/>
  </cols>
  <sheetData>
    <row r="1" ht="20.25" customHeight="1">
      <c r="A1" s="25" t="s">
        <v>21</v>
      </c>
    </row>
    <row r="2" ht="29.25" customHeight="1">
      <c r="A2" s="26" t="s">
        <v>22</v>
      </c>
    </row>
    <row r="3" ht="16.5" customHeight="1">
      <c r="A3" s="3" t="s">
        <v>23</v>
      </c>
    </row>
    <row r="4" ht="16.5" customHeight="1">
      <c r="A4" s="3" t="s">
        <v>24</v>
      </c>
    </row>
    <row r="5" ht="16.5" customHeight="1">
      <c r="A5" s="3" t="s">
        <v>25</v>
      </c>
    </row>
    <row r="6" ht="11.25" customHeight="1">
      <c r="A6" s="3"/>
    </row>
    <row r="7" ht="9.75" customHeight="1"/>
    <row r="8" ht="16.5" customHeight="1">
      <c r="A8" s="27" t="s">
        <v>26</v>
      </c>
      <c r="B8" s="28"/>
      <c r="C8" s="28"/>
      <c r="D8" s="28"/>
      <c r="E8" s="28"/>
      <c r="F8" s="28"/>
      <c r="G8" s="28"/>
      <c r="H8" s="28"/>
      <c r="I8" s="29"/>
    </row>
    <row r="9" ht="17.25" customHeight="1"/>
    <row r="10" ht="15.75" customHeight="1">
      <c r="A10" s="30" t="s">
        <v>27</v>
      </c>
      <c r="B10" s="3"/>
      <c r="C10" s="3"/>
      <c r="D10" s="3"/>
    </row>
    <row r="11" ht="13.5" customHeight="1"/>
    <row r="12" ht="18.0" customHeight="1">
      <c r="A12" s="31" t="s">
        <v>28</v>
      </c>
      <c r="B12" s="17"/>
      <c r="C12" s="32">
        <v>4000.0</v>
      </c>
      <c r="D12" s="33" t="s">
        <v>29</v>
      </c>
      <c r="F12" s="31" t="s">
        <v>30</v>
      </c>
      <c r="G12" s="17"/>
      <c r="H12" s="34">
        <v>15.0</v>
      </c>
      <c r="I12" s="33" t="s">
        <v>31</v>
      </c>
    </row>
    <row r="13" ht="18.0" customHeight="1">
      <c r="A13" s="31" t="s">
        <v>32</v>
      </c>
      <c r="B13" s="17"/>
      <c r="C13" s="34">
        <v>20.0</v>
      </c>
      <c r="D13" s="35" t="s">
        <v>33</v>
      </c>
      <c r="E13" s="31" t="s">
        <v>34</v>
      </c>
      <c r="G13" s="17"/>
      <c r="H13" s="36">
        <v>2.0</v>
      </c>
      <c r="I13" s="35" t="s">
        <v>33</v>
      </c>
    </row>
    <row r="14" ht="18.0" customHeight="1">
      <c r="A14" s="31" t="s">
        <v>35</v>
      </c>
      <c r="C14" s="34">
        <v>25.0</v>
      </c>
      <c r="D14" s="35" t="s">
        <v>33</v>
      </c>
      <c r="E14" s="31" t="s">
        <v>36</v>
      </c>
      <c r="G14" s="17"/>
      <c r="H14" s="34">
        <v>0.15</v>
      </c>
    </row>
    <row r="15" ht="18.0" customHeight="1">
      <c r="A15" s="31" t="s">
        <v>37</v>
      </c>
      <c r="B15" s="17"/>
      <c r="C15" s="34">
        <v>15.0</v>
      </c>
      <c r="D15" s="35" t="s">
        <v>33</v>
      </c>
      <c r="E15" s="31" t="s">
        <v>38</v>
      </c>
      <c r="G15" s="17"/>
      <c r="H15" s="32">
        <v>6500.0</v>
      </c>
      <c r="I15" s="35" t="s">
        <v>33</v>
      </c>
    </row>
    <row r="16" ht="33.0" customHeight="1">
      <c r="A16" s="30" t="s">
        <v>39</v>
      </c>
    </row>
    <row r="17" ht="16.5" customHeight="1">
      <c r="F17" s="17" t="s">
        <v>40</v>
      </c>
    </row>
    <row r="18" ht="18.0" customHeight="1">
      <c r="A18" s="17" t="s">
        <v>41</v>
      </c>
      <c r="B18" s="17"/>
      <c r="C18" s="34">
        <v>5.0</v>
      </c>
      <c r="D18" s="35" t="s">
        <v>42</v>
      </c>
      <c r="F18" s="31" t="s">
        <v>43</v>
      </c>
      <c r="G18" s="17"/>
      <c r="H18" s="34">
        <v>10.0</v>
      </c>
      <c r="I18" s="31" t="s">
        <v>44</v>
      </c>
    </row>
    <row r="19" ht="19.5" customHeight="1">
      <c r="A19" s="17" t="s">
        <v>45</v>
      </c>
      <c r="C19" s="36">
        <v>0.5</v>
      </c>
      <c r="D19" s="33" t="s">
        <v>46</v>
      </c>
      <c r="F19" s="31" t="s">
        <v>47</v>
      </c>
      <c r="G19" s="17"/>
      <c r="H19" s="32">
        <v>2000.0</v>
      </c>
      <c r="I19" s="35" t="s">
        <v>33</v>
      </c>
    </row>
    <row r="20" ht="18.0" customHeight="1">
      <c r="A20" s="17" t="s">
        <v>48</v>
      </c>
      <c r="C20" s="36">
        <v>3.0</v>
      </c>
      <c r="F20" s="31" t="s">
        <v>49</v>
      </c>
      <c r="G20" s="17"/>
      <c r="H20" s="36">
        <v>15.0</v>
      </c>
      <c r="I20" s="35" t="s">
        <v>50</v>
      </c>
    </row>
    <row r="21" ht="18.0" customHeight="1">
      <c r="A21" s="17" t="s">
        <v>51</v>
      </c>
      <c r="C21" s="36">
        <v>5.0</v>
      </c>
      <c r="D21" s="33" t="s">
        <v>46</v>
      </c>
      <c r="F21" s="37" t="s">
        <v>52</v>
      </c>
      <c r="H21" s="36">
        <v>1.0</v>
      </c>
    </row>
    <row r="22" ht="18.75" customHeight="1">
      <c r="E22" s="38" t="s">
        <v>53</v>
      </c>
    </row>
    <row r="23" ht="12.75" customHeight="1"/>
    <row r="24" ht="18.0" customHeight="1">
      <c r="A24" s="30" t="s">
        <v>54</v>
      </c>
      <c r="F24" s="17"/>
    </row>
    <row r="25" ht="22.5" customHeight="1">
      <c r="F25" s="35" t="s">
        <v>55</v>
      </c>
      <c r="H25" s="35" t="s">
        <v>56</v>
      </c>
    </row>
    <row r="26" ht="19.5" customHeight="1">
      <c r="A26" s="39" t="s">
        <v>57</v>
      </c>
      <c r="B26" s="17"/>
      <c r="D26" s="31"/>
      <c r="F26" s="34">
        <v>0.17</v>
      </c>
      <c r="H26" s="34">
        <v>0.18</v>
      </c>
    </row>
    <row r="27" ht="19.5" customHeight="1">
      <c r="A27" s="39" t="s">
        <v>58</v>
      </c>
      <c r="B27" s="17"/>
      <c r="D27" s="35"/>
      <c r="F27" s="34">
        <v>12.6</v>
      </c>
      <c r="H27" s="34">
        <v>9.1</v>
      </c>
    </row>
    <row r="28" ht="19.5" customHeight="1">
      <c r="A28" s="31" t="s">
        <v>59</v>
      </c>
      <c r="F28" s="34">
        <v>0.52</v>
      </c>
      <c r="H28" s="34">
        <v>1.86</v>
      </c>
    </row>
    <row r="29" ht="19.5" customHeight="1">
      <c r="A29" s="31" t="s">
        <v>60</v>
      </c>
      <c r="D29" s="17"/>
      <c r="F29" s="34">
        <v>0.04</v>
      </c>
      <c r="H29" s="34">
        <v>0.05</v>
      </c>
    </row>
    <row r="30" ht="18.75" customHeight="1">
      <c r="A30" s="31" t="s">
        <v>61</v>
      </c>
      <c r="D30" s="17"/>
      <c r="F30" s="34">
        <v>3.1</v>
      </c>
      <c r="H30" s="34">
        <v>10.3</v>
      </c>
      <c r="K30" s="2" t="s">
        <v>62</v>
      </c>
    </row>
    <row r="31" ht="22.5" customHeight="1"/>
    <row r="32" ht="18.75" customHeight="1">
      <c r="A32" s="30" t="s">
        <v>63</v>
      </c>
      <c r="L32" s="2" t="s">
        <v>64</v>
      </c>
    </row>
    <row r="33" ht="12.0" customHeight="1"/>
    <row r="34" ht="17.25" customHeight="1">
      <c r="A34" s="40" t="s">
        <v>65</v>
      </c>
      <c r="L34" s="2" t="s">
        <v>66</v>
      </c>
    </row>
    <row r="35" ht="12.75" customHeight="1"/>
    <row r="36" ht="18.0" customHeight="1">
      <c r="A36" s="31" t="s">
        <v>67</v>
      </c>
      <c r="C36" s="41">
        <f>F29+(H29-F29)*((Tww-10)/10)</f>
        <v>0.045</v>
      </c>
      <c r="D36" s="17" t="s">
        <v>68</v>
      </c>
      <c r="F36" s="39" t="s">
        <v>69</v>
      </c>
      <c r="H36" s="41">
        <f>F26+(H26-F26)*((Tww-10)/10)</f>
        <v>0.175</v>
      </c>
      <c r="I36" s="17" t="s">
        <v>70</v>
      </c>
      <c r="L36" s="17" t="s">
        <v>71</v>
      </c>
    </row>
    <row r="37" ht="19.5" customHeight="1">
      <c r="A37" s="31" t="s">
        <v>72</v>
      </c>
      <c r="C37" s="42">
        <f>F30+(H30-F30)*((Tww-10)/10)</f>
        <v>6.7</v>
      </c>
      <c r="D37" s="17" t="s">
        <v>68</v>
      </c>
      <c r="F37" s="39" t="s">
        <v>73</v>
      </c>
      <c r="H37" s="43">
        <f>F27+(H27-F27)*((Tww-10)/10)</f>
        <v>10.85</v>
      </c>
      <c r="I37" s="35" t="s">
        <v>33</v>
      </c>
    </row>
    <row r="38" ht="24.75" customHeight="1">
      <c r="L38" s="17" t="s">
        <v>74</v>
      </c>
    </row>
    <row r="39" ht="15.75" customHeight="1">
      <c r="A39" s="40" t="s">
        <v>75</v>
      </c>
      <c r="L39" s="44" t="s">
        <v>76</v>
      </c>
    </row>
    <row r="40" ht="13.5" customHeight="1"/>
    <row r="41" ht="18.0" customHeight="1">
      <c r="A41" s="39" t="s">
        <v>77</v>
      </c>
      <c r="C41" s="43">
        <f>H37*(1+(C36*C18))/(C18*((H36*C37)-C36)-1)</f>
        <v>2.866037736</v>
      </c>
      <c r="D41" s="35" t="s">
        <v>33</v>
      </c>
      <c r="F41" s="37" t="s">
        <v>78</v>
      </c>
      <c r="H41" s="43">
        <f>(C43*(C14-H13))+C41</f>
        <v>85.53390129</v>
      </c>
      <c r="I41" s="35" t="s">
        <v>79</v>
      </c>
      <c r="L41" s="44" t="s">
        <v>80</v>
      </c>
    </row>
    <row r="42" ht="18.0" customHeight="1">
      <c r="B42" s="17" t="s">
        <v>81</v>
      </c>
      <c r="C42" s="41">
        <f>H36/(1+(C36*C18))</f>
        <v>0.1428571429</v>
      </c>
      <c r="D42" s="17" t="s">
        <v>82</v>
      </c>
      <c r="F42" s="37" t="s">
        <v>83</v>
      </c>
      <c r="H42" s="43">
        <f>H41/1.5</f>
        <v>57.02260086</v>
      </c>
      <c r="I42" s="35" t="s">
        <v>84</v>
      </c>
    </row>
    <row r="43" ht="18.0" customHeight="1">
      <c r="A43" s="17" t="s">
        <v>85</v>
      </c>
      <c r="C43" s="43">
        <f>2.86/(1-(1.43*C42))</f>
        <v>3.594254937</v>
      </c>
      <c r="D43" s="35" t="s">
        <v>86</v>
      </c>
      <c r="F43" s="37" t="s">
        <v>87</v>
      </c>
      <c r="H43" s="45">
        <f>H42*Qo/1000</f>
        <v>228.0904034</v>
      </c>
      <c r="I43" s="35" t="s">
        <v>88</v>
      </c>
    </row>
    <row r="44" ht="24.0" customHeight="1">
      <c r="I44" s="46"/>
      <c r="J44" s="46"/>
      <c r="K44" s="46"/>
      <c r="L44" s="46"/>
      <c r="M44" s="46"/>
      <c r="N44" s="46"/>
      <c r="O44" s="46"/>
    </row>
    <row r="45" ht="15.0" customHeight="1">
      <c r="A45" s="40" t="s">
        <v>89</v>
      </c>
    </row>
    <row r="46" ht="27.75" customHeight="1">
      <c r="B46" s="47" t="s">
        <v>90</v>
      </c>
      <c r="L46" s="46"/>
      <c r="M46" s="46"/>
      <c r="N46" s="46"/>
      <c r="O46" s="46"/>
    </row>
    <row r="47" ht="18.0" customHeight="1">
      <c r="A47" s="39" t="s">
        <v>91</v>
      </c>
      <c r="C47" s="48">
        <f>(Qo*H36*H41/((1+(C36*C18))*0.85))+(fd*C36*C18*Qo*H36*H41/((1+(C36*C18))*0.85))+(Qo*TSSo)</f>
        <v>139442.4675</v>
      </c>
      <c r="D47" s="35" t="s">
        <v>88</v>
      </c>
      <c r="E47" s="17" t="s">
        <v>92</v>
      </c>
      <c r="H47" s="48">
        <f>C47*C18/H19</f>
        <v>348.6061688</v>
      </c>
      <c r="I47" s="33" t="s">
        <v>93</v>
      </c>
      <c r="L47" s="17"/>
    </row>
    <row r="48" ht="18.0" customHeight="1"/>
    <row r="49" ht="18.0" customHeight="1">
      <c r="E49" s="49" t="s">
        <v>94</v>
      </c>
      <c r="F49" s="50"/>
      <c r="G49" s="51"/>
    </row>
    <row r="50" ht="18.0" customHeight="1">
      <c r="A50" s="17" t="s">
        <v>95</v>
      </c>
      <c r="C50" s="48">
        <f>H47/C20</f>
        <v>116.2020563</v>
      </c>
      <c r="D50" s="33" t="s">
        <v>96</v>
      </c>
      <c r="E50" s="52" t="s">
        <v>97</v>
      </c>
      <c r="F50" s="53"/>
      <c r="G50" s="54"/>
      <c r="H50" s="55" t="s">
        <v>98</v>
      </c>
      <c r="I50" s="56"/>
    </row>
    <row r="51" ht="18.0" customHeight="1">
      <c r="A51" s="37" t="str">
        <f>IF(H50="cylindrical","Calculated Tank Diam.  =","  Calculated Tank Width =")</f>
        <v>  Calculated Tank Width =</v>
      </c>
      <c r="C51" s="43">
        <f>IF(H50="cylindrical",((C50/C21)*4/PI())^0.5,((C50/C21)/H21)^0.5)</f>
        <v>4.820830972</v>
      </c>
      <c r="D51" s="33" t="s">
        <v>46</v>
      </c>
      <c r="E51" s="57" t="str">
        <f>IF(H50="cylindrical","          Actual Tank Diam:","         Actual Tank Width:")</f>
        <v>         Actual Tank Width:</v>
      </c>
      <c r="H51" s="36">
        <v>5.0</v>
      </c>
      <c r="I51" s="33" t="s">
        <v>46</v>
      </c>
    </row>
    <row r="52" ht="18.0" customHeight="1">
      <c r="A52" s="37" t="str">
        <f>IF(H50="cylindrical","","  Calculated Tank Length =")</f>
        <v>  Calculated Tank Length =</v>
      </c>
      <c r="C52" s="43">
        <f>IF(H50="cylindrical","",(C50/C21)/C51)</f>
        <v>4.820830972</v>
      </c>
      <c r="D52" s="33" t="s">
        <v>46</v>
      </c>
      <c r="E52" s="57" t="str">
        <f>IF(H50="cylindrical","    Not Used for Cylindrical:","       Actual Tank Length:")</f>
        <v>       Actual Tank Length:</v>
      </c>
      <c r="H52" s="36">
        <v>5.0</v>
      </c>
      <c r="I52" s="33" t="s">
        <v>46</v>
      </c>
    </row>
    <row r="53" ht="18.0" customHeight="1">
      <c r="A53" s="17" t="s">
        <v>99</v>
      </c>
      <c r="C53" s="43">
        <f>C21+C19</f>
        <v>5.5</v>
      </c>
      <c r="D53" s="33" t="s">
        <v>46</v>
      </c>
      <c r="E53" s="17" t="s">
        <v>100</v>
      </c>
      <c r="H53" s="48">
        <f>IF(H50="rectangular",C21*H51*H52,C21*PI()*(H51/2)^2)</f>
        <v>125</v>
      </c>
      <c r="I53" s="33" t="s">
        <v>101</v>
      </c>
    </row>
    <row r="54" ht="18.0" customHeight="1"/>
    <row r="55" ht="18.0" customHeight="1">
      <c r="A55" s="17" t="s">
        <v>102</v>
      </c>
      <c r="C55" s="43">
        <f>H53*C20*24/Qo</f>
        <v>2.25</v>
      </c>
      <c r="D55" s="33" t="s">
        <v>103</v>
      </c>
      <c r="F55" s="17" t="s">
        <v>104</v>
      </c>
      <c r="H55" s="43">
        <f>H53*C20*H18/1000</f>
        <v>3.75</v>
      </c>
      <c r="I55" s="35" t="s">
        <v>105</v>
      </c>
    </row>
    <row r="56" ht="18.0" customHeight="1"/>
    <row r="57" ht="18.0" customHeight="1">
      <c r="A57" s="40" t="s">
        <v>106</v>
      </c>
    </row>
    <row r="58" ht="28.5" customHeight="1">
      <c r="A58" s="47" t="s">
        <v>107</v>
      </c>
    </row>
    <row r="59" ht="18.0" customHeight="1">
      <c r="A59" s="39" t="s">
        <v>108</v>
      </c>
      <c r="C59" s="48">
        <f>Qo*H20/(24*60)</f>
        <v>41.66666667</v>
      </c>
      <c r="D59" s="33" t="s">
        <v>109</v>
      </c>
      <c r="E59" s="39" t="s">
        <v>110</v>
      </c>
      <c r="H59" s="48">
        <f>C59/C20</f>
        <v>13.88888889</v>
      </c>
      <c r="I59" s="33" t="s">
        <v>111</v>
      </c>
    </row>
    <row r="60" ht="18.0" customHeight="1">
      <c r="A60" s="37" t="str">
        <f>IF(H50="cylindrical","Calculated Tank Diam.  =","              Tank Width =")</f>
        <v>              Tank Width =</v>
      </c>
      <c r="C60" s="43">
        <f>IF(H50="cylindrical",((H59/C21)*4/PI())^0.5,H51)</f>
        <v>5</v>
      </c>
      <c r="D60" s="33" t="s">
        <v>46</v>
      </c>
      <c r="E60" s="57" t="str">
        <f>IF(H50="cylindrical","          Actual Tank Diam:","         Actual Tank Width:")</f>
        <v>         Actual Tank Width:</v>
      </c>
      <c r="H60" s="36">
        <v>5.0</v>
      </c>
      <c r="I60" s="33" t="s">
        <v>46</v>
      </c>
    </row>
    <row r="61" ht="18.0" customHeight="1">
      <c r="A61" s="37" t="str">
        <f>IF(H50="cylindrical","","  Calculated Tank Length =")</f>
        <v>  Calculated Tank Length =</v>
      </c>
      <c r="C61" s="43">
        <f>IF(H50="cylindrical","",(H59/C60)/C21)</f>
        <v>0.5555555556</v>
      </c>
      <c r="D61" s="33" t="s">
        <v>46</v>
      </c>
      <c r="E61" s="57" t="str">
        <f>IF(H50="cylindrical","    Not Used for Cylindrical:","       Actual Tank Length:")</f>
        <v>       Actual Tank Length:</v>
      </c>
      <c r="H61" s="36">
        <v>0.7</v>
      </c>
      <c r="I61" s="33" t="s">
        <v>46</v>
      </c>
    </row>
    <row r="62" ht="18.0" customHeight="1">
      <c r="A62" s="17" t="s">
        <v>99</v>
      </c>
      <c r="C62" s="43">
        <f>C21+C19</f>
        <v>5.5</v>
      </c>
      <c r="D62" s="33" t="s">
        <v>46</v>
      </c>
      <c r="E62" s="17" t="s">
        <v>100</v>
      </c>
      <c r="H62" s="43">
        <f>IF(H50="rectangular",C21*H60*H61,C21*PI()*(H60/2)^2)</f>
        <v>17.5</v>
      </c>
      <c r="I62" s="33" t="s">
        <v>112</v>
      </c>
    </row>
    <row r="63" ht="12.0" customHeight="1"/>
    <row r="64" ht="18.0" customHeight="1">
      <c r="A64" s="17" t="s">
        <v>113</v>
      </c>
      <c r="C64" s="43">
        <f>H62*C20*60*24/Qo</f>
        <v>18.9</v>
      </c>
      <c r="D64" s="33" t="s">
        <v>50</v>
      </c>
    </row>
    <row r="65" ht="12.75" customHeight="1"/>
    <row r="66" ht="19.5" customHeight="1">
      <c r="A66" s="40" t="s">
        <v>114</v>
      </c>
      <c r="K66" s="58" t="s">
        <v>115</v>
      </c>
    </row>
    <row r="67" ht="13.5" customHeight="1"/>
    <row r="68" ht="19.5" customHeight="1">
      <c r="A68" s="39" t="s">
        <v>116</v>
      </c>
      <c r="C68" s="45">
        <f>Qo*(MLSS-TSSo)/(TSSw-MLSS)</f>
        <v>1760</v>
      </c>
      <c r="D68" s="33" t="s">
        <v>117</v>
      </c>
      <c r="F68" s="39" t="s">
        <v>118</v>
      </c>
      <c r="H68" s="43">
        <f>((TankNumber*H53*MLSS/SRT)-(Qo*TSSe))/(TSSw-TSSe)</f>
        <v>13.87818042</v>
      </c>
      <c r="I68" s="33" t="s">
        <v>119</v>
      </c>
      <c r="K68" s="2" t="s">
        <v>120</v>
      </c>
    </row>
    <row r="69" ht="12.75" customHeight="1"/>
    <row r="70" ht="12.75" customHeight="1"/>
    <row r="71" ht="13.5" customHeight="1"/>
    <row r="72" ht="23.25" customHeight="1">
      <c r="B72" s="9"/>
      <c r="C72" s="10"/>
      <c r="D72" s="10"/>
      <c r="E72" s="11"/>
      <c r="F72" s="11"/>
      <c r="G72" s="12"/>
      <c r="H72" s="10"/>
      <c r="I72" s="13"/>
    </row>
    <row r="73" ht="23.25" customHeight="1">
      <c r="B73" s="14" t="s">
        <v>18</v>
      </c>
      <c r="C73" s="15"/>
      <c r="D73" s="15"/>
      <c r="E73" s="16"/>
      <c r="F73" s="16"/>
      <c r="G73" s="15"/>
      <c r="H73" s="17"/>
      <c r="I73" s="18"/>
    </row>
    <row r="74" ht="18.0" customHeight="1">
      <c r="B74" s="19"/>
      <c r="C74" s="17"/>
      <c r="D74" s="20" t="s">
        <v>19</v>
      </c>
      <c r="I74" s="18"/>
    </row>
    <row r="75" ht="24.0" customHeight="1">
      <c r="B75" s="21"/>
      <c r="C75" s="22"/>
      <c r="D75" s="22"/>
      <c r="E75" s="22"/>
      <c r="F75" s="22"/>
      <c r="G75" s="22"/>
      <c r="H75" s="22"/>
      <c r="I75" s="23"/>
    </row>
    <row r="76" ht="12.75" customHeight="1"/>
    <row r="77" ht="12.75" customHeight="1">
      <c r="B77" s="24" t="s">
        <v>20</v>
      </c>
    </row>
    <row r="78" ht="12.75" customHeight="1"/>
    <row r="79" ht="12.75" customHeight="1"/>
    <row r="80" ht="12.75" customHeight="1"/>
    <row r="81" ht="12.75" customHeight="1"/>
    <row r="82" ht="12.75" customHeight="1"/>
    <row r="83" ht="19.5" customHeight="1">
      <c r="B83" s="17"/>
      <c r="C83" s="17"/>
      <c r="D83" s="17"/>
      <c r="E83" s="16"/>
      <c r="F83" s="16"/>
      <c r="G83" s="15"/>
      <c r="H83" s="17"/>
    </row>
    <row r="84" ht="23.25" customHeight="1">
      <c r="B84" s="59"/>
      <c r="C84" s="15"/>
      <c r="D84" s="15"/>
      <c r="E84" s="16"/>
      <c r="F84" s="16"/>
      <c r="G84" s="15"/>
      <c r="H84" s="17"/>
    </row>
    <row r="85" ht="23.25" customHeight="1">
      <c r="B85" s="17"/>
      <c r="C85" s="15"/>
      <c r="D85" s="15"/>
      <c r="E85" s="16"/>
      <c r="F85" s="16"/>
      <c r="G85" s="15"/>
      <c r="H85" s="17"/>
    </row>
    <row r="86" ht="16.5" customHeight="1">
      <c r="B86" s="17"/>
      <c r="C86" s="17"/>
      <c r="D86" s="17"/>
      <c r="E86" s="17"/>
      <c r="F86" s="17"/>
      <c r="G86" s="17"/>
      <c r="H86" s="15"/>
    </row>
    <row r="87" ht="12.75" customHeight="1"/>
    <row r="88" ht="12.75" customHeight="1">
      <c r="B88" s="24"/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H50:I50"/>
    <mergeCell ref="D74:H74"/>
  </mergeCells>
  <dataValidations>
    <dataValidation type="list" allowBlank="1" showInputMessage="1" showErrorMessage="1" prompt=" - " sqref="H50">
      <formula1>IP$160:IP$161</formula1>
    </dataValidation>
  </dataValidations>
  <hyperlinks>
    <hyperlink r:id="rId1" ref="D74"/>
  </hyperlinks>
  <printOptions/>
  <pageMargins bottom="0.75" footer="0.0" header="0.0" left="0.7" right="0.7" top="0.75"/>
  <pageSetup orientation="landscape"/>
  <drawing r:id="rId2"/>
</worksheet>
</file>