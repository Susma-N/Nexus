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nts" sheetId="1" r:id="rId5"/>
    <sheet state="visible" name="2. Sec Clarifier Design" sheetId="2" r:id="rId6"/>
    <sheet state="visible" name="3. Prim Clarif Design" sheetId="3" r:id="rId7"/>
  </sheets>
  <definedNames/>
  <calcPr/>
</workbook>
</file>

<file path=xl/sharedStrings.xml><?xml version="1.0" encoding="utf-8"?>
<sst xmlns="http://schemas.openxmlformats.org/spreadsheetml/2006/main" count="195" uniqueCount="148">
  <si>
    <t>Workbook Contents</t>
  </si>
  <si>
    <t>Click on tabs at the bottom of the screen to access the following: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</si>
  <si>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</si>
  <si>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r>
      <rPr>
        <rFont val="Arial"/>
        <b/>
        <color theme="1"/>
        <sz val="12.0"/>
      </rPr>
      <t>Tab 2.</t>
    </r>
    <r>
      <rPr>
        <rFont val="Arial"/>
        <color theme="1"/>
        <sz val="12.0"/>
      </rPr>
      <t xml:space="preserve"> Secondary Clarifier Design Calculations</t>
    </r>
  </si>
  <si>
    <r>
      <rPr>
        <rFont val="Arial"/>
        <b/>
        <color theme="1"/>
        <sz val="12.0"/>
      </rPr>
      <t>Tab 3.</t>
    </r>
    <r>
      <rPr>
        <rFont val="Arial"/>
        <color theme="1"/>
        <sz val="12.0"/>
      </rPr>
      <t xml:space="preserve"> Primary Clarifier Design Calculations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</si>
  <si>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</si>
  <si>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</si>
  <si>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</si>
  <si>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</si>
  <si>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</si>
  <si>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</si>
  <si>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</si>
  <si>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</si>
  <si>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</si>
  <si>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</si>
  <si>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</si>
  <si>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</si>
  <si>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</si>
  <si>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2011 Engineering Excel Templates. All Rights Reserved.</t>
  </si>
  <si>
    <t>Activated Sludge Waste Water Treatment Calculations - S.I. units</t>
  </si>
  <si>
    <t>2. Secondary Clarifier Design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</si>
  <si>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</si>
  <si>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Inputs</t>
  </si>
  <si>
    <t>Calculations</t>
  </si>
  <si>
    <r>
      <rPr>
        <rFont val="Arial"/>
        <color theme="1"/>
        <sz val="10.0"/>
      </rPr>
      <t xml:space="preserve">Prim. Effl. Flow Rate, </t>
    </r>
    <r>
      <rPr>
        <rFont val="Arial"/>
        <b/>
        <color theme="1"/>
        <sz val="12.0"/>
      </rPr>
      <t>Q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</si>
  <si>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</si>
  <si>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Recycle Act. Sl.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</si>
  <si>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</si>
  <si>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Return Act. Sl. Ratio, </t>
    </r>
    <r>
      <rPr>
        <rFont val="Arial"/>
        <b/>
        <color theme="1"/>
        <sz val="12.0"/>
      </rPr>
      <t>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</si>
  <si>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Peak Hourly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</si>
  <si>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</si>
  <si>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Aeration tank MLSS, </t>
    </r>
    <r>
      <rPr>
        <rFont val="Arial"/>
        <b/>
        <color theme="1"/>
        <sz val="12.0"/>
      </rPr>
      <t>X</t>
    </r>
    <r>
      <rPr>
        <rFont val="Arial"/>
        <color theme="1"/>
        <sz val="10.0"/>
      </rPr>
      <t xml:space="preserve"> =</t>
    </r>
  </si>
  <si>
    <t>mg/L</t>
  </si>
  <si>
    <r>
      <rPr>
        <rFont val="Arial"/>
        <color theme="1"/>
        <sz val="10.0"/>
        <u/>
      </rPr>
      <t xml:space="preserve">Calculate Clarifier Area based on </t>
    </r>
    <r>
      <rPr>
        <rFont val="Arial"/>
        <b/>
        <color theme="1"/>
        <sz val="10.0"/>
        <u/>
      </rPr>
      <t>SOR</t>
    </r>
    <r>
      <rPr>
        <rFont val="Arial"/>
        <color theme="1"/>
        <sz val="10.0"/>
        <u/>
      </rPr>
      <t xml:space="preserve"> </t>
    </r>
  </si>
  <si>
    <t>Design Surface</t>
  </si>
  <si>
    <r>
      <rPr>
        <rFont val="Arial"/>
        <color theme="1"/>
      </rPr>
      <t xml:space="preserve"> Based on ave. Flow: 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1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</si>
  <si>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</si>
  <si>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Overflow Rate , </t>
    </r>
    <r>
      <rPr>
        <rFont val="Arial"/>
        <b/>
        <color theme="1"/>
        <sz val="12.0"/>
      </rPr>
      <t>SOR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</si>
  <si>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</si>
  <si>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 xml:space="preserve"> (ave)</t>
  </si>
  <si>
    <r>
      <rPr>
        <rFont val="Arial"/>
        <color theme="1"/>
        <sz val="10.0"/>
      </rPr>
      <t xml:space="preserve">Based on Peak Flow: 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2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</si>
  <si>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</si>
  <si>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</si>
  <si>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>(peak)</t>
  </si>
  <si>
    <t>The larger of the two areas is: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</si>
  <si>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</si>
  <si>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>Design Solids</t>
  </si>
  <si>
    <r>
      <rPr>
        <rFont val="Arial"/>
        <color theme="1"/>
        <sz val="10.0"/>
      </rPr>
      <t xml:space="preserve">    Loading Rate , </t>
    </r>
    <r>
      <rPr>
        <rFont val="Arial"/>
        <b/>
        <color theme="1"/>
        <sz val="12.0"/>
      </rPr>
      <t>SLR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</si>
  <si>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kg/hr/m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</si>
  <si>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  <u/>
      </rPr>
      <t xml:space="preserve">Calculate Clarifier Area based on </t>
    </r>
    <r>
      <rPr>
        <rFont val="Arial"/>
        <b/>
        <color theme="1"/>
        <sz val="10.0"/>
        <u/>
      </rPr>
      <t>SLR</t>
    </r>
    <r>
      <rPr>
        <rFont val="Arial"/>
        <color theme="1"/>
        <sz val="10.0"/>
        <u/>
      </rPr>
      <t xml:space="preserve"> </t>
    </r>
  </si>
  <si>
    <r>
      <rPr>
        <rFont val="Arial"/>
        <color theme="1"/>
        <sz val="10.0"/>
      </rPr>
      <t>kg/hr/m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</si>
  <si>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 xml:space="preserve"> Based on ave. Flow: 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3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</si>
  <si>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</si>
  <si>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Based on Peak Flow: 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4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</si>
  <si>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</si>
  <si>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Peaking Factor,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</si>
  <si>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</si>
  <si>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 xml:space="preserve">   (for peak hourly flow)</t>
  </si>
  <si>
    <r>
      <rPr>
        <rFont val="Arial"/>
        <color theme="1"/>
        <sz val="10.0"/>
      </rPr>
      <t xml:space="preserve">Area needed for Clarifier,  </t>
    </r>
    <r>
      <rPr>
        <rFont val="Arial"/>
        <b/>
        <color theme="1"/>
        <sz val="12.0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</si>
  <si>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</si>
  <si>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(The largest of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1</t>
    </r>
    <r>
      <rPr>
        <rFont val="Arial"/>
        <b/>
        <color theme="1"/>
        <sz val="12.0"/>
      </rPr>
      <t>, A</t>
    </r>
    <r>
      <rPr>
        <rFont val="Arial"/>
        <b/>
        <color theme="1"/>
        <sz val="12.0"/>
        <vertAlign val="subscript"/>
      </rPr>
      <t>2</t>
    </r>
    <r>
      <rPr>
        <rFont val="Arial"/>
        <b/>
        <color theme="1"/>
        <sz val="12.0"/>
      </rPr>
      <t>, A</t>
    </r>
    <r>
      <rPr>
        <rFont val="Arial"/>
        <b/>
        <color theme="1"/>
        <sz val="12.0"/>
        <vertAlign val="subscript"/>
      </rPr>
      <t>3</t>
    </r>
    <r>
      <rPr>
        <rFont val="Arial"/>
        <color theme="1"/>
        <sz val="10.0"/>
      </rPr>
      <t xml:space="preserve">, &amp;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4</t>
    </r>
    <r>
      <rPr>
        <rFont val="Arial"/>
        <color theme="1"/>
        <sz val="10.0"/>
      </rPr>
      <t>)</t>
    </r>
  </si>
  <si>
    <t xml:space="preserve">  Adapted from: Metcalf &amp; Eddy, Inc, (Revised by Tchobanoglous, G, Burton, F.L., Stensel, H.D., </t>
  </si>
  <si>
    <r>
      <rPr>
        <rFont val="Arial"/>
        <color theme="1"/>
      </rPr>
      <t xml:space="preserve">  </t>
    </r>
    <r>
      <rPr>
        <rFont val="Arial"/>
        <i/>
        <color theme="1"/>
        <sz val="10.0"/>
      </rPr>
      <t xml:space="preserve">Wastewater Engineering, Treatment and Reuse, </t>
    </r>
    <r>
      <rPr>
        <rFont val="Arial"/>
        <color theme="1"/>
        <sz val="10.0"/>
      </rPr>
      <t>4th Ed., New York, NY, 2003.</t>
    </r>
  </si>
  <si>
    <t>Calculate Circular Clarifier Diameter:</t>
  </si>
  <si>
    <t>NOTE:  The design parameters for a particular project will typically come from the design guide</t>
  </si>
  <si>
    <r>
      <rPr>
        <rFont val="Arial"/>
        <color theme="1"/>
        <sz val="10.0"/>
      </rPr>
      <t xml:space="preserve">Number of Clarifiers, </t>
    </r>
    <r>
      <rPr>
        <rFont val="Arial"/>
        <b/>
        <color theme="1"/>
        <sz val="12.0"/>
      </rPr>
      <t>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</si>
  <si>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Clarifier Diameter, </t>
    </r>
    <r>
      <rPr>
        <rFont val="Arial"/>
        <b/>
        <color theme="1"/>
        <sz val="12.0"/>
      </rPr>
      <t>D</t>
    </r>
    <r>
      <rPr>
        <rFont val="Arial"/>
        <color theme="1"/>
        <sz val="10.0"/>
      </rPr>
      <t xml:space="preserve"> =</t>
    </r>
  </si>
  <si>
    <t>m</t>
  </si>
  <si>
    <t>of the appropriate state, county or municipality.</t>
  </si>
  <si>
    <t>Effluent Weir Calculations (Circular Clarifiers)</t>
  </si>
  <si>
    <t>Typical maximum values for Weir Overflow Rate (WOR):</t>
  </si>
  <si>
    <t xml:space="preserve">  Min. Diameter for single</t>
  </si>
  <si>
    <t>Max Weir Overflow Rate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</si>
  <si>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/d/m </t>
    </r>
  </si>
  <si>
    <t xml:space="preserve">     circular effluent weir  =</t>
  </si>
  <si>
    <r>
      <rPr>
        <rFont val="Arial"/>
        <color theme="1"/>
        <sz val="12.0"/>
      </rPr>
      <t xml:space="preserve">for </t>
    </r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&lt; 3800 m</t>
    </r>
    <r>
      <rPr>
        <rFont val="Arial"/>
        <color theme="1"/>
        <sz val="12.0"/>
        <vertAlign val="superscript"/>
      </rPr>
      <t>3</t>
    </r>
    <r>
      <rPr>
        <rFont val="Arial"/>
        <color theme="1"/>
        <sz val="12.0"/>
      </rPr>
      <t>/day:</t>
    </r>
  </si>
  <si>
    <r>
      <rPr>
        <rFont val="Arial"/>
        <b/>
        <color theme="1"/>
        <sz val="12.0"/>
      </rPr>
      <t>WOR</t>
    </r>
    <r>
      <rPr>
        <rFont val="Arial"/>
        <b val="0"/>
        <color theme="1"/>
        <sz val="12.0"/>
      </rPr>
      <t xml:space="preserve"> </t>
    </r>
    <r>
      <rPr>
        <rFont val="Arial"/>
        <b val="0"/>
        <color theme="1"/>
        <sz val="12.0"/>
        <u/>
      </rPr>
      <t>&lt;</t>
    </r>
    <r>
      <rPr>
        <rFont val="Arial"/>
        <b val="0"/>
        <color theme="1"/>
        <sz val="12.0"/>
      </rPr>
      <t xml:space="preserve"> 250 m</t>
    </r>
    <r>
      <rPr>
        <rFont val="Arial"/>
        <b val="0"/>
        <color theme="1"/>
        <sz val="12.0"/>
        <vertAlign val="superscript"/>
      </rPr>
      <t>3</t>
    </r>
    <r>
      <rPr>
        <rFont val="Arial"/>
        <b val="0"/>
        <color theme="1"/>
        <sz val="12.0"/>
      </rPr>
      <t>/d/m</t>
    </r>
  </si>
  <si>
    <t xml:space="preserve">  Min. Diameter for circular Channel with</t>
  </si>
  <si>
    <r>
      <rPr>
        <rFont val="Arial"/>
        <color theme="1"/>
        <sz val="12.0"/>
      </rPr>
      <t xml:space="preserve">for </t>
    </r>
    <r>
      <rPr>
        <rFont val="Arial"/>
        <b/>
        <color theme="1"/>
        <sz val="12.0"/>
      </rPr>
      <t>Q</t>
    </r>
    <r>
      <rPr>
        <rFont val="Arial"/>
        <color theme="1"/>
        <sz val="12.0"/>
      </rPr>
      <t xml:space="preserve"> </t>
    </r>
    <r>
      <rPr>
        <rFont val="Arial"/>
        <color theme="1"/>
        <sz val="12.0"/>
        <u/>
      </rPr>
      <t>&gt;</t>
    </r>
    <r>
      <rPr>
        <rFont val="Arial"/>
        <color theme="1"/>
        <sz val="12.0"/>
      </rPr>
      <t xml:space="preserve"> 3800 m</t>
    </r>
    <r>
      <rPr>
        <rFont val="Arial"/>
        <color theme="1"/>
        <sz val="12.0"/>
        <vertAlign val="superscript"/>
      </rPr>
      <t>3</t>
    </r>
    <r>
      <rPr>
        <rFont val="Arial"/>
        <color theme="1"/>
        <sz val="12.0"/>
      </rPr>
      <t>/day:</t>
    </r>
  </si>
  <si>
    <r>
      <rPr>
        <rFont val="Arial"/>
        <b/>
        <color theme="1"/>
        <sz val="12.0"/>
      </rPr>
      <t>WOR</t>
    </r>
    <r>
      <rPr>
        <rFont val="Arial"/>
        <b val="0"/>
        <color theme="1"/>
        <sz val="12.0"/>
      </rPr>
      <t xml:space="preserve"> </t>
    </r>
    <r>
      <rPr>
        <rFont val="Arial"/>
        <b val="0"/>
        <color theme="1"/>
        <sz val="12.0"/>
        <u/>
      </rPr>
      <t>&lt;</t>
    </r>
    <r>
      <rPr>
        <rFont val="Arial"/>
        <b val="0"/>
        <color theme="1"/>
        <sz val="12.0"/>
      </rPr>
      <t xml:space="preserve"> 375 m</t>
    </r>
    <r>
      <rPr>
        <rFont val="Arial"/>
        <b val="0"/>
        <color theme="1"/>
        <sz val="12.0"/>
        <vertAlign val="superscript"/>
      </rPr>
      <t>3</t>
    </r>
    <r>
      <rPr>
        <rFont val="Arial"/>
        <b val="0"/>
        <color theme="1"/>
        <sz val="12.0"/>
      </rPr>
      <t>/d/m</t>
    </r>
  </si>
  <si>
    <t xml:space="preserve">   effluent weir on each side  =</t>
  </si>
  <si>
    <t>Typical Values for Peaking Factors (hourly maximum/daily average)</t>
  </si>
  <si>
    <t>Calculate Length and Width for Rectangular Clarifier:</t>
  </si>
  <si>
    <t>Ave Flow, MGD</t>
  </si>
  <si>
    <t>Peaking Factor</t>
  </si>
  <si>
    <r>
      <rPr>
        <rFont val="Arial"/>
        <color theme="1"/>
        <sz val="10.0"/>
      </rPr>
      <t xml:space="preserve">Number of Clarifiers, </t>
    </r>
    <r>
      <rPr>
        <rFont val="Arial"/>
        <b/>
        <color theme="1"/>
        <sz val="12.0"/>
      </rPr>
      <t>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</si>
  <si>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Clarifier Width, </t>
    </r>
    <r>
      <rPr>
        <rFont val="Arial"/>
        <b/>
        <color theme="1"/>
        <sz val="12.0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</si>
  <si>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Length/Width ratio, </t>
    </r>
    <r>
      <rPr>
        <rFont val="Arial"/>
        <b/>
        <color theme="1"/>
        <sz val="12.0"/>
      </rPr>
      <t>L/W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</si>
  <si>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Clarifier Length, </t>
    </r>
    <r>
      <rPr>
        <rFont val="Arial"/>
        <b/>
        <color theme="1"/>
        <sz val="12.0"/>
      </rPr>
      <t>L</t>
    </r>
    <r>
      <rPr>
        <rFont val="Arial"/>
        <color theme="1"/>
        <sz val="10.0"/>
      </rPr>
      <t xml:space="preserve"> =</t>
    </r>
  </si>
  <si>
    <t xml:space="preserve"> &lt; 0.1</t>
  </si>
  <si>
    <t>0.1 - 0.3</t>
  </si>
  <si>
    <t>Effluent Weir Calculations (Rectangular Clarifiers)</t>
  </si>
  <si>
    <t>0.3 - 0.5</t>
  </si>
  <si>
    <t>Number of channel widths</t>
  </si>
  <si>
    <t>0.5 - 0.7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</si>
  <si>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/d/m </t>
    </r>
  </si>
  <si>
    <t xml:space="preserve">     needed for effluent weir =</t>
  </si>
  <si>
    <t>0.7 - 1.0</t>
  </si>
  <si>
    <t>1 - 2</t>
  </si>
  <si>
    <t>2 - 4</t>
  </si>
  <si>
    <t>2.25</t>
  </si>
  <si>
    <r>
      <rPr>
        <rFont val="Arial"/>
        <b/>
        <color theme="1"/>
        <sz val="12.0"/>
      </rPr>
      <t xml:space="preserve">  </t>
    </r>
    <r>
      <rPr>
        <rFont val="Arial"/>
        <b/>
        <color theme="1"/>
        <sz val="12.0"/>
        <u/>
      </rPr>
      <t>Equations used for Calculations:</t>
    </r>
  </si>
  <si>
    <r>
      <rPr>
        <rFont val="Arial"/>
        <b/>
        <color theme="1"/>
        <sz val="12.0"/>
      </rPr>
      <t xml:space="preserve">  </t>
    </r>
    <r>
      <rPr>
        <rFont val="Arial"/>
        <b/>
        <color theme="1"/>
        <sz val="12.0"/>
        <u/>
      </rPr>
      <t>A note on unit conversions:</t>
    </r>
  </si>
  <si>
    <t>&gt; 4</t>
  </si>
  <si>
    <r>
      <rPr>
        <rFont val="Arial"/>
        <color theme="1"/>
        <sz val="12.0"/>
      </rPr>
      <t xml:space="preserve">   Clarifier area:  </t>
    </r>
    <r>
      <rPr>
        <rFont val="Arial"/>
        <b/>
        <color theme="1"/>
        <sz val="12.0"/>
      </rPr>
      <t>A</t>
    </r>
    <r>
      <rPr>
        <rFont val="Arial"/>
        <color theme="1"/>
        <sz val="12.0"/>
      </rPr>
      <t xml:space="preserve">  =  </t>
    </r>
    <r>
      <rPr>
        <rFont val="Arial"/>
        <b/>
        <color theme="1"/>
        <sz val="12.0"/>
      </rPr>
      <t>Q</t>
    </r>
    <r>
      <rPr>
        <rFont val="Arial"/>
        <color theme="1"/>
        <sz val="12.0"/>
      </rPr>
      <t>/</t>
    </r>
    <r>
      <rPr>
        <rFont val="Arial"/>
        <b/>
        <color theme="1"/>
        <sz val="12.0"/>
      </rPr>
      <t>SOR</t>
    </r>
  </si>
  <si>
    <r>
      <rPr>
        <rFont val="Arial"/>
        <color theme="1"/>
        <sz val="11.0"/>
      </rPr>
      <t xml:space="preserve">  1 mg/L  =  0.001 kg/m</t>
    </r>
    <r>
      <rPr>
        <rFont val="Arial"/>
        <color theme="1"/>
        <sz val="11.0"/>
        <vertAlign val="superscript"/>
      </rPr>
      <t>3</t>
    </r>
    <r>
      <rPr>
        <rFont val="Arial"/>
        <color theme="1"/>
        <sz val="11.0"/>
      </rPr>
      <t xml:space="preserve">  </t>
    </r>
  </si>
  <si>
    <r>
      <rPr>
        <rFont val="Arial"/>
        <color theme="1"/>
        <sz val="12.0"/>
      </rPr>
      <t xml:space="preserve">  Clarifier Area:  </t>
    </r>
    <r>
      <rPr>
        <rFont val="Arial"/>
        <b/>
        <color theme="1"/>
        <sz val="12.0"/>
      </rPr>
      <t>A</t>
    </r>
    <r>
      <rPr>
        <rFont val="Arial"/>
        <color theme="1"/>
        <sz val="12.0"/>
      </rPr>
      <t xml:space="preserve">  =  (</t>
    </r>
    <r>
      <rPr>
        <rFont val="Arial"/>
        <b/>
        <color theme="1"/>
        <sz val="12.0"/>
      </rPr>
      <t xml:space="preserve">Q </t>
    </r>
    <r>
      <rPr>
        <rFont val="Arial"/>
        <color theme="1"/>
        <sz val="12.0"/>
      </rPr>
      <t xml:space="preserve">+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r</t>
    </r>
    <r>
      <rPr>
        <rFont val="Arial"/>
        <color theme="1"/>
        <sz val="12.0"/>
      </rPr>
      <t>)*</t>
    </r>
    <r>
      <rPr>
        <rFont val="Arial"/>
        <b/>
        <color theme="1"/>
        <sz val="12.0"/>
      </rPr>
      <t>X</t>
    </r>
    <r>
      <rPr>
        <rFont val="Arial"/>
        <color theme="1"/>
        <sz val="12.0"/>
      </rPr>
      <t>*0.001/24*</t>
    </r>
    <r>
      <rPr>
        <rFont val="Arial"/>
        <b/>
        <color theme="1"/>
        <sz val="12.0"/>
      </rPr>
      <t>SLR</t>
    </r>
  </si>
  <si>
    <r>
      <rPr>
        <rFont val="Arial"/>
        <color theme="1"/>
        <sz val="12.0"/>
      </rPr>
      <t xml:space="preserve">  Effl. Weir Length:  </t>
    </r>
    <r>
      <rPr>
        <rFont val="Arial"/>
        <b/>
        <color theme="1"/>
        <sz val="12.0"/>
      </rPr>
      <t>L</t>
    </r>
    <r>
      <rPr>
        <rFont val="Arial"/>
        <color theme="1"/>
        <sz val="12.0"/>
      </rPr>
      <t xml:space="preserve">  =  </t>
    </r>
    <r>
      <rPr>
        <rFont val="Arial"/>
        <b/>
        <color theme="1"/>
        <sz val="12.0"/>
      </rPr>
      <t>Q</t>
    </r>
    <r>
      <rPr>
        <rFont val="Arial"/>
        <color theme="1"/>
        <sz val="12.0"/>
      </rPr>
      <t>/</t>
    </r>
    <r>
      <rPr>
        <rFont val="Arial"/>
        <b/>
        <color theme="1"/>
        <sz val="12.0"/>
      </rPr>
      <t>WOR</t>
    </r>
  </si>
  <si>
    <t xml:space="preserve">       Find more Excel spreadsheets for engineering at:</t>
  </si>
  <si>
    <t>Activated Sludge Waste Water Treatment Calculations - U.S. units</t>
  </si>
  <si>
    <t>3. Primary Clarifier Design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</si>
  <si>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</si>
  <si>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r>
      <rPr>
        <rFont val="Arial"/>
        <color theme="1"/>
        <sz val="10.0"/>
      </rPr>
      <t xml:space="preserve">Influent Flow Rate, </t>
    </r>
    <r>
      <rPr>
        <rFont val="Arial"/>
        <b/>
        <color theme="1"/>
        <sz val="12.0"/>
      </rPr>
      <t>Q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</si>
  <si>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</si>
  <si>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Recycle Act. Sl.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</si>
  <si>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</si>
  <si>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Return Act. Sl. Ratio, </t>
    </r>
    <r>
      <rPr>
        <rFont val="Arial"/>
        <b/>
        <color theme="1"/>
        <sz val="12.0"/>
      </rPr>
      <t>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</si>
  <si>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Peak Hourly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</si>
  <si>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  <r>
      <rPr>
        <rFont val="Arial"/>
        <color theme="1"/>
        <sz val="10.0"/>
      </rPr>
      <t xml:space="preserve"> </t>
    </r>
  </si>
  <si>
    <t>Design Surface Overflow</t>
  </si>
  <si>
    <r>
      <rPr>
        <rFont val="Arial"/>
        <color theme="1"/>
        <sz val="10.0"/>
        <u/>
      </rPr>
      <t xml:space="preserve">Calculate Clarifier Area based on </t>
    </r>
    <r>
      <rPr>
        <rFont val="Arial"/>
        <b/>
        <color theme="1"/>
        <sz val="10.0"/>
        <u/>
      </rPr>
      <t>SOR</t>
    </r>
    <r>
      <rPr>
        <rFont val="Arial"/>
        <color theme="1"/>
        <sz val="10.0"/>
        <u/>
      </rPr>
      <t xml:space="preserve"> </t>
    </r>
  </si>
  <si>
    <r>
      <rPr>
        <rFont val="Arial"/>
        <color theme="1"/>
        <sz val="10.0"/>
      </rPr>
      <t xml:space="preserve">  Rate (average) , </t>
    </r>
    <r>
      <rPr>
        <rFont val="Arial"/>
        <b/>
        <color theme="1"/>
        <sz val="12.0"/>
      </rPr>
      <t>SOR</t>
    </r>
    <r>
      <rPr>
        <rFont val="Arial"/>
        <color theme="1"/>
        <sz val="10.0"/>
        <vertAlign val="subscript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</si>
  <si>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</si>
  <si>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 xml:space="preserve"> Based on ave. Flow: 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1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</si>
  <si>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</si>
  <si>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Rate (peak) , </t>
    </r>
    <r>
      <rPr>
        <rFont val="Arial"/>
        <b/>
        <color theme="1"/>
        <sz val="12.0"/>
      </rPr>
      <t>SOR</t>
    </r>
    <r>
      <rPr>
        <rFont val="Arial"/>
        <color theme="1"/>
        <sz val="10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</si>
  <si>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</si>
  <si>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Based on Peak Flow:  </t>
    </r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2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</si>
  <si>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</si>
  <si>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Peaking Factor,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</si>
  <si>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</si>
  <si>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Number of Clarifiers, </t>
    </r>
    <r>
      <rPr>
        <rFont val="Arial"/>
        <b/>
        <color theme="1"/>
        <sz val="12.0"/>
      </rPr>
      <t>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</si>
  <si>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Clarifier Diameter, </t>
    </r>
    <r>
      <rPr>
        <rFont val="Arial"/>
        <b/>
        <color theme="1"/>
        <sz val="12.0"/>
      </rPr>
      <t>D</t>
    </r>
    <r>
      <rPr>
        <rFont val="Arial"/>
        <color theme="1"/>
        <sz val="10.0"/>
      </rPr>
      <t xml:space="preserve"> =</t>
    </r>
  </si>
  <si>
    <t xml:space="preserve">      Max Weir Overflow</t>
  </si>
  <si>
    <r>
      <rPr>
        <rFont val="Arial"/>
        <color theme="1"/>
      </rPr>
      <t xml:space="preserve">         Rate,  </t>
    </r>
    <r>
      <rPr>
        <rFont val="Arial"/>
        <b/>
        <color theme="1"/>
        <sz val="12.0"/>
      </rPr>
      <t>WOR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</si>
  <si>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/hr/m </t>
    </r>
  </si>
  <si>
    <r>
      <rPr>
        <rFont val="Arial"/>
        <color theme="1"/>
      </rPr>
      <t xml:space="preserve">  </t>
    </r>
    <r>
      <rPr>
        <rFont val="Arial"/>
        <i/>
        <color theme="1"/>
        <sz val="10.0"/>
      </rPr>
      <t xml:space="preserve">Wastewater Engineering, Treatment and Reuse, </t>
    </r>
    <r>
      <rPr>
        <rFont val="Arial"/>
        <color theme="1"/>
        <sz val="10.0"/>
      </rPr>
      <t>4th Ed., New York, NY, 2003.</t>
    </r>
  </si>
  <si>
    <r>
      <rPr>
        <rFont val="Arial"/>
        <color theme="1"/>
        <sz val="10.0"/>
      </rPr>
      <t xml:space="preserve">Number of Clarifiers, </t>
    </r>
    <r>
      <rPr>
        <rFont val="Arial"/>
        <b/>
        <color theme="1"/>
        <sz val="12.0"/>
      </rPr>
      <t>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</si>
  <si>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Clarifier Width, </t>
    </r>
    <r>
      <rPr>
        <rFont val="Arial"/>
        <b/>
        <color theme="1"/>
        <sz val="12.0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</si>
  <si>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Length/Width ratio, </t>
    </r>
    <r>
      <rPr>
        <rFont val="Arial"/>
        <b/>
        <color theme="1"/>
        <sz val="12.0"/>
      </rPr>
      <t>L/W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</si>
  <si>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Clarifier Length, </t>
    </r>
    <r>
      <rPr>
        <rFont val="Arial"/>
        <b/>
        <color theme="1"/>
        <sz val="12.0"/>
      </rPr>
      <t>L</t>
    </r>
    <r>
      <rPr>
        <rFont val="Arial"/>
        <color theme="1"/>
        <sz val="10.0"/>
      </rPr>
      <t xml:space="preserve"> =</t>
    </r>
  </si>
  <si>
    <t xml:space="preserve">   Max Weir Overflow</t>
  </si>
  <si>
    <t xml:space="preserve">      Number of channel widths</t>
  </si>
  <si>
    <r>
      <rPr>
        <rFont val="Arial"/>
        <color theme="1"/>
      </rPr>
      <t xml:space="preserve">        Rate,  </t>
    </r>
    <r>
      <rPr>
        <rFont val="Arial"/>
        <b/>
        <color theme="1"/>
        <sz val="12.0"/>
      </rPr>
      <t>WOR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</si>
  <si>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/hr/m </t>
    </r>
  </si>
  <si>
    <r>
      <rPr>
        <rFont val="Arial"/>
        <b/>
        <color theme="1"/>
        <sz val="12.0"/>
      </rPr>
      <t xml:space="preserve">  </t>
    </r>
    <r>
      <rPr>
        <rFont val="Arial"/>
        <b/>
        <color theme="1"/>
        <sz val="12.0"/>
        <u/>
      </rPr>
      <t>Equations used for Calculations:</t>
    </r>
  </si>
  <si>
    <r>
      <rPr>
        <rFont val="Arial"/>
        <color theme="1"/>
        <sz val="12.0"/>
      </rPr>
      <t xml:space="preserve">   Clarifier area:  </t>
    </r>
    <r>
      <rPr>
        <rFont val="Arial"/>
        <b/>
        <color theme="1"/>
        <sz val="12.0"/>
      </rPr>
      <t>A</t>
    </r>
    <r>
      <rPr>
        <rFont val="Arial"/>
        <color theme="1"/>
        <sz val="12.0"/>
      </rPr>
      <t xml:space="preserve">  =  </t>
    </r>
    <r>
      <rPr>
        <rFont val="Arial"/>
        <b/>
        <color theme="1"/>
        <sz val="12.0"/>
      </rPr>
      <t>Q</t>
    </r>
    <r>
      <rPr>
        <rFont val="Arial"/>
        <color theme="1"/>
        <sz val="12.0"/>
      </rPr>
      <t>/</t>
    </r>
    <r>
      <rPr>
        <rFont val="Arial"/>
        <b/>
        <color theme="1"/>
        <sz val="12.0"/>
      </rPr>
      <t>SOR</t>
    </r>
  </si>
  <si>
    <r>
      <rPr>
        <rFont val="Arial"/>
        <color theme="1"/>
        <sz val="12.0"/>
      </rPr>
      <t xml:space="preserve">  Effl. Weir Length:  </t>
    </r>
    <r>
      <rPr>
        <rFont val="Arial"/>
        <b/>
        <color theme="1"/>
        <sz val="12.0"/>
      </rPr>
      <t>L</t>
    </r>
    <r>
      <rPr>
        <rFont val="Arial"/>
        <color theme="1"/>
        <sz val="12.0"/>
      </rPr>
      <t xml:space="preserve">  =  </t>
    </r>
    <r>
      <rPr>
        <rFont val="Arial"/>
        <b/>
        <color theme="1"/>
        <sz val="12.0"/>
      </rPr>
      <t>Q</t>
    </r>
    <r>
      <rPr>
        <rFont val="Arial"/>
        <color theme="1"/>
        <sz val="12.0"/>
      </rPr>
      <t>/</t>
    </r>
    <r>
      <rPr>
        <rFont val="Arial"/>
        <b/>
        <color theme="1"/>
        <sz val="12.0"/>
      </rPr>
      <t>WOR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</si>
</sst>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"/>
    <numFmt numFmtId="166" formatCode="0.000"/>
    <numFmt numFmtId="167" formatCode="0.00000"/>
  </numFmts>
  <fonts count="25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8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u/>
      <sz val="12.0"/>
      <color theme="1"/>
      <name val="Arial"/>
    </font>
    <font>
      <u/>
      <sz val="10.0"/>
      <color theme="1"/>
      <name val="Arial"/>
    </font>
    <font>
      <sz val="14.0"/>
      <color rgb="FF000000"/>
      <name val="Arial"/>
    </font>
    <font>
      <color theme="1"/>
      <name val="Arial"/>
      <scheme val="minor"/>
    </font>
    <font>
      <sz val="16.0"/>
      <color theme="1"/>
      <name val="Noto Sans Symbols"/>
    </font>
    <font>
      <sz val="20.0"/>
      <color theme="1"/>
      <name val="Arial"/>
    </font>
    <font>
      <sz val="16.0"/>
      <color rgb="FF000000"/>
      <name val="Arial"/>
    </font>
    <font>
      <b/>
      <u/>
      <sz val="18.0"/>
      <color theme="1"/>
      <name val="Arial"/>
    </font>
    <font>
      <u/>
      <sz val="12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u/>
      <sz val="14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6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164" xfId="0" applyAlignment="1" applyFont="1" applyNumberFormat="1">
      <alignment horizontal="center" shrinkToFit="0" vertical="bottom" wrapText="0"/>
    </xf>
    <xf borderId="12" fillId="2" fontId="7" numFmtId="0" xfId="0" applyAlignment="1" applyBorder="1" applyFill="1" applyFont="1">
      <alignment horizontal="center" shrinkToFit="0" vertical="bottom" wrapText="0"/>
    </xf>
    <xf borderId="12" fillId="3" fontId="7" numFmtId="1" xfId="0" applyAlignment="1" applyBorder="1" applyFill="1" applyFont="1" applyNumberFormat="1">
      <alignment horizontal="center" shrinkToFit="0" vertical="bottom" wrapText="0"/>
    </xf>
    <xf borderId="0" fillId="0" fontId="7" numFmtId="1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Font="1"/>
    <xf borderId="0" fillId="0" fontId="7" numFmtId="166" xfId="0" applyAlignment="1" applyFont="1" applyNumberFormat="1">
      <alignment horizontal="left" shrinkToFit="0" vertical="bottom" wrapText="0"/>
    </xf>
    <xf borderId="0" fillId="0" fontId="17" numFmtId="0" xfId="0" applyAlignment="1" applyFont="1">
      <alignment shrinkToFit="0" vertical="bottom" wrapText="0"/>
    </xf>
    <xf borderId="0" fillId="0" fontId="7" numFmtId="2" xfId="0" applyAlignment="1" applyFont="1" applyNumberFormat="1">
      <alignment horizontal="center" shrinkToFit="0" vertical="bottom" wrapText="0"/>
    </xf>
    <xf borderId="0" fillId="0" fontId="8" numFmtId="166" xfId="0" applyAlignment="1" applyFont="1" applyNumberFormat="1">
      <alignment horizontal="left" shrinkToFit="0" vertical="bottom" wrapText="0"/>
    </xf>
    <xf borderId="12" fillId="2" fontId="7" numFmtId="165" xfId="0" applyAlignment="1" applyBorder="1" applyFont="1" applyNumberForma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12" fillId="2" fontId="7" numFmtId="1" xfId="0" applyAlignment="1" applyBorder="1" applyFont="1" applyNumberFormat="1">
      <alignment horizontal="center" shrinkToFit="0" vertical="bottom" wrapText="0"/>
    </xf>
    <xf borderId="12" fillId="3" fontId="7" numFmtId="165" xfId="0" applyAlignment="1" applyBorder="1" applyFont="1" applyNumberFormat="1">
      <alignment horizontal="center" shrinkToFit="0" vertical="bottom" wrapText="0"/>
    </xf>
    <xf borderId="0" fillId="0" fontId="8" numFmtId="2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2" numFmtId="165" xfId="0" applyAlignment="1" applyFont="1" applyNumberFormat="1">
      <alignment horizontal="center" shrinkToFit="0" vertical="bottom" wrapText="0"/>
    </xf>
    <xf borderId="0" fillId="0" fontId="22" numFmtId="49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13" fillId="0" fontId="2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13" fillId="0" fontId="22" numFmtId="0" xfId="0" applyAlignment="1" applyBorder="1" applyFont="1">
      <alignment horizontal="left" shrinkToFit="0" vertical="bottom" wrapText="0"/>
    </xf>
    <xf borderId="13" fillId="0" fontId="22" numFmtId="0" xfId="0" applyAlignment="1" applyBorder="1" applyFont="1">
      <alignment shrinkToFit="0" vertical="bottom" wrapText="0"/>
    </xf>
    <xf borderId="0" fillId="0" fontId="8" numFmtId="2" xfId="0" applyAlignment="1" applyFont="1" applyNumberFormat="1">
      <alignment horizontal="left" shrinkToFit="0" vertical="bottom" wrapText="0"/>
    </xf>
    <xf borderId="8" fillId="0" fontId="7" numFmtId="0" xfId="0" applyAlignment="1" applyBorder="1" applyFont="1">
      <alignment shrinkToFit="0" vertical="bottom" wrapText="0"/>
    </xf>
    <xf borderId="0" fillId="0" fontId="8" numFmtId="167" xfId="0" applyAlignment="1" applyFont="1" applyNumberForma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0" fillId="0" fontId="8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0</xdr:row>
      <xdr:rowOff>133350</xdr:rowOff>
    </xdr:from>
    <xdr:ext cx="4752975" cy="2981325"/>
    <xdr:pic>
      <xdr:nvPicPr>
        <xdr:cNvPr descr="C:\Users\Grandpa\Pictures\Activated Sludge Parameters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15</xdr:row>
      <xdr:rowOff>123825</xdr:rowOff>
    </xdr:from>
    <xdr:ext cx="6419850" cy="2066925"/>
    <xdr:pic>
      <xdr:nvPicPr>
        <xdr:cNvPr descr="G:\Backup of 2 G Drive\Excel Spreadsheets for Sale\Activated Sludge\Sec Clarif Design Parameters_S.I.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0</xdr:row>
      <xdr:rowOff>171450</xdr:rowOff>
    </xdr:from>
    <xdr:ext cx="5753100" cy="3343275"/>
    <xdr:pic>
      <xdr:nvPicPr>
        <xdr:cNvPr descr="G:\Backup of 2 G Drive\Excel Spreadsheets for Sale\Activated Sludge\Activated Sludge Flow Diagram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17</xdr:row>
      <xdr:rowOff>66675</xdr:rowOff>
    </xdr:from>
    <xdr:ext cx="5295900" cy="2371725"/>
    <xdr:pic>
      <xdr:nvPicPr>
        <xdr:cNvPr descr="G:\Backup of 2 G Drive\Excel Spreadsheets for Sale\Activated Sludge\Prim Clarif Design Parameters_S.I.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8.0" customHeight="1">
      <c r="C1" s="1" t="s">
        <v>0</v>
      </c>
    </row>
    <row r="2" ht="15.75" customHeight="1">
      <c r="A2" s="2"/>
    </row>
    <row r="3" ht="15.0" customHeight="1">
      <c r="A3" s="3" t="s">
        <v>1</v>
      </c>
    </row>
    <row r="4" ht="15.0" customHeight="1">
      <c r="A4" s="3"/>
    </row>
    <row r="5" ht="15.75" customHeight="1">
      <c r="A5" s="3"/>
      <c r="B5" s="3" t="s">
        <v>2</v>
      </c>
    </row>
    <row r="6" ht="15.0" customHeight="1">
      <c r="A6" s="3"/>
    </row>
    <row r="7" ht="15.75" customHeight="1">
      <c r="A7" s="3"/>
      <c r="B7" s="3" t="s">
        <v>3</v>
      </c>
    </row>
    <row r="8" ht="15.0" customHeight="1">
      <c r="A8" s="3"/>
      <c r="B8" s="3"/>
    </row>
    <row r="9" ht="15.75" customHeight="1">
      <c r="A9" s="3"/>
      <c r="B9" s="3" t="s">
        <v>4</v>
      </c>
    </row>
    <row r="10" ht="12.75" customHeight="1"/>
    <row r="11" ht="12.75" customHeight="1"/>
    <row r="12" ht="15.75" customHeight="1">
      <c r="A12" s="4" t="s">
        <v>5</v>
      </c>
      <c r="B12" s="5"/>
    </row>
    <row r="13" ht="15.0" customHeight="1">
      <c r="A13" s="6" t="s">
        <v>6</v>
      </c>
      <c r="B13" s="5"/>
    </row>
    <row r="14" ht="15.0" customHeight="1">
      <c r="A14" s="6" t="s">
        <v>7</v>
      </c>
      <c r="B14" s="5"/>
    </row>
    <row r="15" ht="15.0" customHeight="1">
      <c r="A15" s="6" t="s">
        <v>8</v>
      </c>
      <c r="B15" s="5"/>
    </row>
    <row r="16" ht="15.0" customHeight="1">
      <c r="A16" s="6" t="s">
        <v>9</v>
      </c>
      <c r="B16" s="5"/>
    </row>
    <row r="17" ht="15.0" customHeight="1">
      <c r="A17" s="6" t="s">
        <v>10</v>
      </c>
      <c r="B17" s="5"/>
    </row>
    <row r="18" ht="15.0" customHeight="1">
      <c r="A18" s="6" t="s">
        <v>11</v>
      </c>
      <c r="B18" s="5"/>
    </row>
    <row r="19" ht="15.0" customHeight="1">
      <c r="A19" s="6" t="s">
        <v>12</v>
      </c>
      <c r="B19" s="5"/>
    </row>
    <row r="20" ht="15.0" customHeight="1">
      <c r="A20" s="6" t="s">
        <v>13</v>
      </c>
      <c r="B20" s="5"/>
    </row>
    <row r="21" ht="15.75" customHeight="1">
      <c r="A21" s="7"/>
      <c r="B21" s="5"/>
    </row>
    <row r="22" ht="12.75" customHeight="1"/>
    <row r="23" ht="15.75" customHeight="1">
      <c r="A23" s="2" t="s">
        <v>14</v>
      </c>
    </row>
    <row r="24" ht="15.75" customHeight="1">
      <c r="A24" s="7" t="s">
        <v>15</v>
      </c>
    </row>
    <row r="25" ht="12.75" customHeight="1"/>
    <row r="26" ht="12.75" customHeight="1">
      <c r="A26" s="8"/>
    </row>
    <row r="27" ht="12.75" customHeight="1">
      <c r="A27" s="5"/>
    </row>
    <row r="28" ht="15.75" customHeight="1">
      <c r="A28" s="3"/>
    </row>
    <row r="29" ht="23.25" customHeight="1">
      <c r="B29" s="9"/>
      <c r="C29" s="10"/>
      <c r="D29" s="10"/>
      <c r="E29" s="11"/>
      <c r="F29" s="11"/>
      <c r="G29" s="12"/>
      <c r="H29" s="10"/>
      <c r="I29" s="13"/>
    </row>
    <row r="30" ht="23.25" customHeight="1">
      <c r="A30" s="14"/>
      <c r="B30" s="15" t="s">
        <v>16</v>
      </c>
      <c r="C30" s="16"/>
      <c r="D30" s="16"/>
      <c r="E30" s="17"/>
      <c r="F30" s="17"/>
      <c r="G30" s="16"/>
      <c r="H30" s="8"/>
      <c r="I30" s="18"/>
    </row>
    <row r="31" ht="18.0" customHeight="1">
      <c r="B31" s="19"/>
      <c r="C31" s="8"/>
      <c r="D31" s="20" t="s">
        <v>17</v>
      </c>
      <c r="I31" s="18"/>
    </row>
    <row r="32" ht="24.0" customHeight="1">
      <c r="A32" s="14"/>
      <c r="B32" s="21"/>
      <c r="C32" s="22"/>
      <c r="D32" s="22"/>
      <c r="E32" s="22"/>
      <c r="F32" s="22"/>
      <c r="G32" s="22"/>
      <c r="H32" s="22"/>
      <c r="I32" s="23"/>
    </row>
    <row r="33" ht="12.75" customHeight="1"/>
    <row r="34" ht="12.75" customHeight="1"/>
    <row r="35" ht="12.75" customHeight="1"/>
    <row r="36" ht="12.75" customHeight="1">
      <c r="B36" s="24" t="s">
        <v>18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31:H31"/>
  </mergeCells>
  <hyperlinks>
    <hyperlink r:id="rId1" ref="D3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75"/>
    <col customWidth="1" min="3" max="3" width="9.75"/>
    <col customWidth="1" min="4" max="4" width="8.63"/>
    <col customWidth="1" min="5" max="5" width="7.38"/>
    <col customWidth="1" min="6" max="6" width="13.0"/>
    <col customWidth="1" min="7" max="7" width="13.75"/>
    <col customWidth="1" min="8" max="8" width="11.25"/>
    <col customWidth="1" min="9" max="9" width="7.0"/>
    <col customWidth="1" min="10" max="10" width="8.0"/>
    <col customWidth="1" min="11" max="11" width="4.63"/>
    <col customWidth="1" min="12" max="12" width="16.38"/>
    <col customWidth="1" min="13" max="13" width="14.63"/>
    <col customWidth="1" min="14" max="14" width="9.63"/>
    <col customWidth="1" min="15" max="15" width="14.13"/>
    <col customWidth="1" min="16" max="16" width="7.38"/>
    <col customWidth="1" min="17" max="17" width="8.75"/>
    <col customWidth="1" min="18" max="18" width="8.0"/>
    <col customWidth="1" min="19" max="19" width="28.38"/>
    <col customWidth="1" min="20" max="20" width="18.25"/>
    <col customWidth="1" min="21" max="34" width="8.0"/>
  </cols>
  <sheetData>
    <row r="1" ht="19.5" customHeight="1">
      <c r="A1" s="25" t="s">
        <v>19</v>
      </c>
      <c r="J1" s="26"/>
      <c r="L1" s="26"/>
      <c r="M1" s="27"/>
      <c r="N1" s="27"/>
      <c r="O1" s="27"/>
      <c r="P1" s="27"/>
      <c r="Q1" s="27"/>
      <c r="R1" s="27"/>
      <c r="S1" s="27"/>
      <c r="T1" s="27"/>
      <c r="U1" s="27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ht="12.75" customHeight="1">
      <c r="A2" s="25"/>
      <c r="L2" s="2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ht="18.75" customHeight="1">
      <c r="A3" s="14" t="s">
        <v>20</v>
      </c>
      <c r="L3" s="25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16.5" customHeight="1">
      <c r="A4" s="3"/>
      <c r="L4" s="14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17.25" customHeight="1">
      <c r="A5" s="28" t="s">
        <v>21</v>
      </c>
      <c r="B5" s="29"/>
      <c r="C5" s="29"/>
      <c r="D5" s="29"/>
      <c r="E5" s="29"/>
      <c r="F5" s="29"/>
      <c r="G5" s="29"/>
      <c r="H5" s="29"/>
      <c r="I5" s="30"/>
      <c r="J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ht="15.0" customHeight="1">
      <c r="L6" s="31"/>
      <c r="M6" s="3"/>
      <c r="N6" s="3"/>
      <c r="O6" s="3"/>
      <c r="P6" s="3"/>
      <c r="Q6" s="31"/>
      <c r="R6" s="3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17.25" customHeight="1">
      <c r="A7" s="31" t="s">
        <v>22</v>
      </c>
      <c r="B7" s="3"/>
      <c r="C7" s="3"/>
      <c r="D7" s="3"/>
      <c r="E7" s="3"/>
      <c r="F7" s="31" t="s">
        <v>23</v>
      </c>
      <c r="G7" s="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ht="12.75" customHeight="1">
      <c r="J8" s="26"/>
      <c r="L8" s="32"/>
      <c r="M8" s="8"/>
      <c r="N8" s="26"/>
      <c r="O8" s="26"/>
      <c r="P8" s="32"/>
      <c r="Q8" s="32"/>
      <c r="R8" s="32"/>
      <c r="S8" s="33"/>
      <c r="T8" s="26"/>
      <c r="U8" s="1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ht="21.0" customHeight="1">
      <c r="A9" s="32" t="s">
        <v>24</v>
      </c>
      <c r="B9" s="8"/>
      <c r="C9" s="34">
        <v>10600.0</v>
      </c>
      <c r="D9" s="26" t="s">
        <v>25</v>
      </c>
      <c r="F9" s="32" t="s">
        <v>26</v>
      </c>
      <c r="G9" s="8"/>
      <c r="H9" s="35">
        <f>C11*C9</f>
        <v>3180</v>
      </c>
      <c r="I9" s="26" t="s">
        <v>27</v>
      </c>
      <c r="J9" s="26"/>
      <c r="L9" s="32"/>
      <c r="M9" s="32"/>
      <c r="N9" s="26"/>
      <c r="O9" s="26"/>
      <c r="P9" s="32"/>
      <c r="Q9" s="32"/>
      <c r="R9" s="32"/>
      <c r="S9" s="26"/>
      <c r="T9" s="26"/>
      <c r="U9" s="17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ht="15.75" customHeight="1">
      <c r="A10" s="32"/>
      <c r="B10" s="32"/>
      <c r="C10" s="8"/>
      <c r="E10" s="32"/>
      <c r="H10" s="36"/>
      <c r="J10" s="26"/>
      <c r="L10" s="32"/>
      <c r="M10" s="8"/>
      <c r="N10" s="26"/>
      <c r="O10" s="26"/>
      <c r="P10" s="32"/>
      <c r="Q10" s="32"/>
      <c r="R10" s="32"/>
      <c r="S10" s="37"/>
      <c r="T10" s="26"/>
      <c r="U10" s="17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ht="21.0" customHeight="1">
      <c r="A11" s="32" t="s">
        <v>28</v>
      </c>
      <c r="B11" s="8"/>
      <c r="C11" s="34">
        <v>0.3</v>
      </c>
      <c r="D11" s="26"/>
      <c r="E11" s="32"/>
      <c r="F11" s="32" t="s">
        <v>29</v>
      </c>
      <c r="G11" s="8"/>
      <c r="H11" s="35">
        <f>C9*C22</f>
        <v>23850</v>
      </c>
      <c r="I11" s="26" t="s">
        <v>30</v>
      </c>
      <c r="J11" s="26"/>
      <c r="L11" s="32"/>
      <c r="M11" s="32"/>
      <c r="N11" s="8"/>
      <c r="O11" s="26"/>
      <c r="P11" s="32"/>
      <c r="Q11" s="32"/>
      <c r="R11" s="32"/>
      <c r="S11" s="26"/>
      <c r="T11" s="26"/>
      <c r="U11" s="1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ht="15.75" customHeight="1">
      <c r="A12" s="32"/>
      <c r="B12" s="32"/>
      <c r="C12" s="8"/>
      <c r="E12" s="32"/>
      <c r="F12" s="32"/>
      <c r="G12" s="32"/>
      <c r="H12" s="26"/>
      <c r="I12" s="26"/>
      <c r="J12" s="26"/>
      <c r="K12" s="14"/>
      <c r="L12" s="32"/>
      <c r="M12" s="32"/>
      <c r="N12" s="8"/>
      <c r="O12" s="26"/>
      <c r="P12" s="8"/>
      <c r="Q12" s="32"/>
      <c r="R12" s="32"/>
      <c r="S12" s="38"/>
      <c r="T12" s="26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ht="21.0" customHeight="1">
      <c r="A13" s="32" t="s">
        <v>31</v>
      </c>
      <c r="B13" s="8"/>
      <c r="C13" s="34">
        <v>2100.0</v>
      </c>
      <c r="D13" s="26" t="s">
        <v>32</v>
      </c>
      <c r="E13" s="32"/>
      <c r="F13" s="39" t="s">
        <v>33</v>
      </c>
      <c r="J13" s="8"/>
      <c r="L13" s="32"/>
      <c r="M13" s="32"/>
      <c r="N13" s="26"/>
      <c r="O13" s="26"/>
      <c r="P13" s="32"/>
      <c r="Q13" s="8"/>
      <c r="R13" s="8"/>
      <c r="S13" s="26"/>
      <c r="T13" s="8"/>
      <c r="U13" s="17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14.25" customHeight="1">
      <c r="A14" s="32"/>
      <c r="B14" s="32"/>
      <c r="C14" s="8"/>
      <c r="E14" s="8"/>
      <c r="F14" s="32"/>
      <c r="G14" s="32"/>
      <c r="H14" s="26"/>
      <c r="I14" s="26"/>
      <c r="J14" s="26"/>
      <c r="L14" s="40"/>
      <c r="M14" s="8"/>
      <c r="N14" s="8"/>
      <c r="O14" s="26"/>
      <c r="P14" s="32"/>
      <c r="Q14" s="32"/>
      <c r="R14" s="32"/>
      <c r="S14" s="26"/>
      <c r="T14" s="26"/>
      <c r="U14" s="1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ht="21.0" customHeight="1">
      <c r="A15" s="32" t="s">
        <v>34</v>
      </c>
      <c r="B15" s="32"/>
      <c r="C15" s="8"/>
      <c r="E15" s="32"/>
      <c r="F15" s="41" t="s">
        <v>35</v>
      </c>
      <c r="H15" s="35">
        <f>C9/C16</f>
        <v>481.8181818</v>
      </c>
      <c r="I15" s="26" t="s">
        <v>36</v>
      </c>
      <c r="J15" s="26"/>
      <c r="M15" s="32"/>
      <c r="N15" s="26"/>
      <c r="O15" s="26"/>
      <c r="P15" s="32"/>
      <c r="Q15" s="32"/>
      <c r="R15" s="32"/>
      <c r="S15" s="33"/>
      <c r="T15" s="26"/>
      <c r="U15" s="1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21.0" customHeight="1">
      <c r="A16" s="32" t="s">
        <v>37</v>
      </c>
      <c r="B16" s="8"/>
      <c r="C16" s="34">
        <v>22.0</v>
      </c>
      <c r="D16" s="26" t="s">
        <v>38</v>
      </c>
      <c r="E16" s="26" t="s">
        <v>39</v>
      </c>
      <c r="F16" s="32" t="s">
        <v>40</v>
      </c>
      <c r="H16" s="35">
        <f>H11/C17</f>
        <v>507.4468085</v>
      </c>
      <c r="I16" s="26" t="s">
        <v>41</v>
      </c>
      <c r="J16" s="26"/>
      <c r="L16" s="40"/>
      <c r="M16" s="8"/>
      <c r="N16" s="8"/>
      <c r="O16" s="26"/>
      <c r="P16" s="32"/>
      <c r="Q16" s="8"/>
      <c r="R16" s="8"/>
      <c r="S16" s="42"/>
      <c r="T16" s="26"/>
      <c r="U16" s="17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ht="21.0" customHeight="1">
      <c r="A17" s="32"/>
      <c r="B17" s="8"/>
      <c r="C17" s="34">
        <v>47.0</v>
      </c>
      <c r="D17" s="26" t="s">
        <v>42</v>
      </c>
      <c r="E17" s="26" t="s">
        <v>43</v>
      </c>
      <c r="F17" s="32" t="s">
        <v>44</v>
      </c>
      <c r="H17" s="35">
        <f>IF(H15&gt;H16,H15,H16)</f>
        <v>507.4468085</v>
      </c>
      <c r="I17" s="26" t="s">
        <v>45</v>
      </c>
      <c r="J17" s="8"/>
      <c r="L17" s="43"/>
      <c r="M17" s="8"/>
      <c r="N17" s="8"/>
      <c r="O17" s="26"/>
      <c r="P17" s="8"/>
      <c r="Q17" s="8"/>
      <c r="R17" s="8"/>
      <c r="S17" s="8"/>
      <c r="T17" s="38"/>
      <c r="U17" s="17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ht="24.0" customHeight="1">
      <c r="A18" s="32" t="s">
        <v>46</v>
      </c>
      <c r="B18" s="32"/>
      <c r="C18" s="8"/>
      <c r="E18" s="32"/>
      <c r="G18" s="32"/>
      <c r="H18" s="44"/>
      <c r="I18" s="26"/>
      <c r="J18" s="8"/>
      <c r="M18" s="27"/>
      <c r="N18" s="27"/>
      <c r="O18" s="16"/>
      <c r="P18" s="16"/>
      <c r="Q18" s="16"/>
      <c r="R18" s="16"/>
      <c r="S18" s="16"/>
      <c r="T18" s="45"/>
      <c r="U18" s="1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ht="21.0" customHeight="1">
      <c r="A19" s="32" t="s">
        <v>47</v>
      </c>
      <c r="B19" s="8"/>
      <c r="C19" s="46">
        <v>5.0</v>
      </c>
      <c r="D19" s="26" t="s">
        <v>48</v>
      </c>
      <c r="E19" s="26" t="s">
        <v>39</v>
      </c>
      <c r="F19" s="39" t="s">
        <v>49</v>
      </c>
      <c r="G19" s="32"/>
      <c r="H19" s="26"/>
      <c r="I19" s="26"/>
      <c r="J19" s="8"/>
      <c r="L19" s="43"/>
      <c r="M19" s="4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ht="21.0" customHeight="1">
      <c r="C20" s="34">
        <v>8.0</v>
      </c>
      <c r="D20" s="26" t="s">
        <v>50</v>
      </c>
      <c r="E20" s="26" t="s">
        <v>43</v>
      </c>
      <c r="F20" s="41" t="s">
        <v>51</v>
      </c>
      <c r="H20" s="35">
        <f>(C9+H9)*0.001*C13/(24*C19)</f>
        <v>241.15</v>
      </c>
      <c r="I20" s="26" t="s">
        <v>52</v>
      </c>
      <c r="J20" s="8"/>
      <c r="L20" s="48"/>
      <c r="M20" s="8"/>
      <c r="N20" s="8"/>
      <c r="O20" s="27"/>
      <c r="P20" s="27"/>
      <c r="Q20" s="27"/>
      <c r="R20" s="27"/>
      <c r="S20" s="27"/>
      <c r="T20" s="27"/>
      <c r="U20" s="27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ht="21.0" customHeight="1">
      <c r="E21" s="3"/>
      <c r="F21" s="32" t="s">
        <v>53</v>
      </c>
      <c r="H21" s="35">
        <f>(C9+H9)*0.001*C13*C22/(24*C20)</f>
        <v>339.1171875</v>
      </c>
      <c r="I21" s="26" t="s">
        <v>54</v>
      </c>
      <c r="J21" s="8"/>
      <c r="K21" s="14"/>
      <c r="L21" s="49"/>
      <c r="M21" s="4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ht="21.0" customHeight="1">
      <c r="A22" s="32" t="s">
        <v>55</v>
      </c>
      <c r="B22" s="8"/>
      <c r="C22" s="34">
        <v>2.25</v>
      </c>
      <c r="F22" s="32" t="s">
        <v>44</v>
      </c>
      <c r="H22" s="35">
        <f>IF(H20&gt;H21,H20,H21)</f>
        <v>339.1171875</v>
      </c>
      <c r="I22" s="26" t="s">
        <v>56</v>
      </c>
      <c r="J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ht="16.5" customHeight="1">
      <c r="A23" s="32" t="s">
        <v>57</v>
      </c>
      <c r="I23" s="26"/>
      <c r="K23" s="14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ht="21.0" customHeight="1">
      <c r="F24" s="32" t="s">
        <v>58</v>
      </c>
      <c r="H24" s="35">
        <f>IF(H17&gt;H22,H17,H22)</f>
        <v>507.4468085</v>
      </c>
      <c r="I24" s="26" t="s">
        <v>59</v>
      </c>
      <c r="L24" s="4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ht="19.5" customHeight="1">
      <c r="F25" s="32" t="s">
        <v>60</v>
      </c>
      <c r="J25" s="8" t="s">
        <v>61</v>
      </c>
      <c r="M25" s="50"/>
      <c r="N25" s="51"/>
      <c r="O25" s="51"/>
      <c r="P25" s="51"/>
      <c r="Q25" s="51"/>
      <c r="R25" s="50"/>
      <c r="S25" s="51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ht="19.5" customHeight="1">
      <c r="J26" s="41" t="s">
        <v>62</v>
      </c>
      <c r="L26" s="2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ht="19.5" customHeight="1">
      <c r="A27" s="52" t="s">
        <v>63</v>
      </c>
      <c r="K27" s="48"/>
      <c r="M27" s="16"/>
      <c r="N27" s="16"/>
      <c r="O27" s="17"/>
      <c r="P27" s="17"/>
      <c r="Q27" s="16"/>
      <c r="R27" s="16"/>
      <c r="S27" s="16"/>
      <c r="T27" s="17"/>
      <c r="U27" s="17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ht="17.25" customHeight="1">
      <c r="J28" s="53" t="s">
        <v>64</v>
      </c>
      <c r="K28" s="8"/>
      <c r="L28" s="8"/>
      <c r="M28" s="8"/>
      <c r="N28" s="17"/>
      <c r="O28" s="17"/>
      <c r="P28" s="16"/>
      <c r="Q28" s="8"/>
      <c r="S28" s="8"/>
      <c r="T28" s="17"/>
      <c r="U28" s="17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ht="21.0" customHeight="1">
      <c r="A29" s="32" t="s">
        <v>65</v>
      </c>
      <c r="B29" s="8"/>
      <c r="C29" s="34">
        <v>2.0</v>
      </c>
      <c r="F29" s="32" t="s">
        <v>66</v>
      </c>
      <c r="H29" s="35">
        <f>((H24/C29)*4/PI())^0.5</f>
        <v>17.97361043</v>
      </c>
      <c r="I29" s="26" t="s">
        <v>67</v>
      </c>
      <c r="J29" s="53" t="s">
        <v>68</v>
      </c>
      <c r="O29" s="17"/>
      <c r="P29" s="16"/>
      <c r="Q29" s="8"/>
      <c r="S29" s="8"/>
      <c r="T29" s="17"/>
      <c r="U29" s="17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ht="23.25" customHeight="1">
      <c r="O30" s="17"/>
      <c r="P30" s="8"/>
      <c r="Q30" s="8"/>
      <c r="S30" s="8"/>
      <c r="T30" s="17"/>
      <c r="U30" s="17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ht="19.5" customHeight="1">
      <c r="A31" s="52" t="s">
        <v>69</v>
      </c>
      <c r="K31" s="54" t="s">
        <v>70</v>
      </c>
      <c r="L31" s="14"/>
      <c r="M31" s="16"/>
      <c r="N31" s="16"/>
      <c r="O31" s="17"/>
      <c r="P31" s="8"/>
      <c r="Q31" s="8"/>
      <c r="S31" s="8"/>
      <c r="T31" s="26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ht="14.25" customHeight="1">
      <c r="F32" s="41" t="s">
        <v>71</v>
      </c>
      <c r="L32" s="8"/>
      <c r="M32" s="8"/>
      <c r="N32" s="55"/>
      <c r="O32" s="17"/>
      <c r="P32" s="17"/>
      <c r="Q32" s="16"/>
      <c r="R32" s="16"/>
      <c r="S32" s="16"/>
      <c r="T32" s="17"/>
      <c r="U32" s="17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ht="21.0" customHeight="1">
      <c r="A33" s="41" t="s">
        <v>72</v>
      </c>
      <c r="C33" s="56">
        <v>375.0</v>
      </c>
      <c r="D33" s="26" t="s">
        <v>73</v>
      </c>
      <c r="F33" s="41" t="s">
        <v>74</v>
      </c>
      <c r="H33" s="57">
        <f>(C9/C29)/(PI()*C33)</f>
        <v>4.498779725</v>
      </c>
      <c r="I33" s="26" t="s">
        <v>67</v>
      </c>
      <c r="K33" s="3" t="s">
        <v>75</v>
      </c>
      <c r="L33" s="3"/>
      <c r="M33" s="3"/>
      <c r="N33" s="2" t="s">
        <v>76</v>
      </c>
      <c r="O33" s="8"/>
      <c r="P33" s="17"/>
      <c r="Q33" s="16"/>
      <c r="R33" s="16"/>
      <c r="S33" s="16"/>
      <c r="T33" s="17"/>
      <c r="U33" s="17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ht="15.0" customHeight="1">
      <c r="L34" s="8"/>
      <c r="M34" s="27"/>
      <c r="N34" s="16"/>
      <c r="O34" s="16"/>
      <c r="P34" s="17"/>
      <c r="Q34" s="16"/>
      <c r="R34" s="16"/>
      <c r="S34" s="16"/>
      <c r="T34" s="58"/>
      <c r="U34" s="17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ht="21.0" customHeight="1">
      <c r="F35" s="41" t="s">
        <v>77</v>
      </c>
      <c r="K35" s="3" t="s">
        <v>78</v>
      </c>
      <c r="L35" s="3"/>
      <c r="M35" s="3"/>
      <c r="N35" s="2" t="s">
        <v>79</v>
      </c>
      <c r="O35" s="16"/>
      <c r="P35" s="17"/>
      <c r="Q35" s="16"/>
      <c r="R35" s="16"/>
      <c r="S35" s="16"/>
      <c r="T35" s="59"/>
      <c r="U35" s="17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ht="21.0" customHeight="1">
      <c r="F36" s="41" t="s">
        <v>80</v>
      </c>
      <c r="H36" s="57">
        <f>(C9/(2*C29))/(PI()*C33)</f>
        <v>2.249389862</v>
      </c>
      <c r="I36" s="26" t="s">
        <v>67</v>
      </c>
      <c r="O36" s="16"/>
      <c r="P36" s="16"/>
      <c r="Q36" s="16"/>
      <c r="R36" s="8"/>
      <c r="S36" s="16"/>
      <c r="T36" s="58"/>
      <c r="U36" s="17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ht="18.0" customHeight="1">
      <c r="K37" s="54" t="s">
        <v>81</v>
      </c>
      <c r="L37" s="27"/>
      <c r="M37" s="16"/>
      <c r="N37" s="16"/>
      <c r="O37" s="16"/>
      <c r="P37" s="16"/>
      <c r="Q37" s="16"/>
      <c r="R37" s="16"/>
      <c r="S37" s="16"/>
      <c r="T37" s="58"/>
      <c r="U37" s="17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ht="18.0" customHeight="1">
      <c r="A38" s="52" t="s">
        <v>82</v>
      </c>
      <c r="L38" s="27"/>
      <c r="M38" s="16"/>
      <c r="N38" s="16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ht="13.5" customHeight="1">
      <c r="L39" s="39" t="s">
        <v>83</v>
      </c>
      <c r="M39" s="39" t="s">
        <v>84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ht="21.0" customHeight="1">
      <c r="A40" s="32" t="s">
        <v>85</v>
      </c>
      <c r="B40" s="8"/>
      <c r="C40" s="34">
        <v>2.0</v>
      </c>
      <c r="F40" s="32" t="s">
        <v>86</v>
      </c>
      <c r="H40" s="57">
        <f>((H24/C40)/(C41))^0.5</f>
        <v>7.964348753</v>
      </c>
      <c r="I40" s="26" t="s">
        <v>67</v>
      </c>
      <c r="L40" s="8"/>
      <c r="M40" s="8"/>
      <c r="N40" s="8"/>
      <c r="O40" s="27"/>
      <c r="P40" s="27"/>
      <c r="Q40" s="27"/>
      <c r="R40" s="27"/>
      <c r="S40" s="27"/>
      <c r="T40" s="27"/>
      <c r="U40" s="27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ht="21.0" customHeight="1">
      <c r="A41" s="41" t="s">
        <v>87</v>
      </c>
      <c r="C41" s="34">
        <v>4.0</v>
      </c>
      <c r="F41" s="32" t="s">
        <v>88</v>
      </c>
      <c r="H41" s="57">
        <f>(H24/C41)/H40</f>
        <v>15.92869751</v>
      </c>
      <c r="I41" s="26" t="s">
        <v>67</v>
      </c>
      <c r="L41" s="60" t="s">
        <v>89</v>
      </c>
      <c r="M41" s="61">
        <v>3.0</v>
      </c>
      <c r="N41" s="2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ht="23.25" customHeight="1">
      <c r="L42" s="60" t="s">
        <v>90</v>
      </c>
      <c r="M42" s="61">
        <v>2.9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ht="16.5" customHeight="1">
      <c r="A43" s="52" t="s">
        <v>91</v>
      </c>
      <c r="L43" s="60" t="s">
        <v>92</v>
      </c>
      <c r="M43" s="61">
        <v>2.8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ht="16.5" customHeight="1">
      <c r="F44" s="41" t="s">
        <v>93</v>
      </c>
      <c r="L44" s="60" t="s">
        <v>94</v>
      </c>
      <c r="M44" s="61">
        <v>2.7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ht="21.0" customHeight="1">
      <c r="A45" s="41" t="s">
        <v>72</v>
      </c>
      <c r="C45" s="56">
        <v>375.0</v>
      </c>
      <c r="D45" s="26" t="s">
        <v>95</v>
      </c>
      <c r="F45" s="41" t="s">
        <v>96</v>
      </c>
      <c r="H45" s="57">
        <f>(C9/C40)/(C45*H40)</f>
        <v>1.774574893</v>
      </c>
      <c r="I45" s="26"/>
      <c r="L45" s="60" t="s">
        <v>97</v>
      </c>
      <c r="M45" s="61">
        <v>2.6</v>
      </c>
      <c r="N45" s="8"/>
      <c r="O45" s="51"/>
      <c r="P45" s="51"/>
      <c r="Q45" s="51"/>
      <c r="R45" s="50"/>
      <c r="S45" s="51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ht="16.5" customHeight="1">
      <c r="L46" s="62" t="s">
        <v>98</v>
      </c>
      <c r="M46" s="61">
        <v>2.5</v>
      </c>
      <c r="N46" s="51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ht="16.5" customHeight="1">
      <c r="L47" s="62" t="s">
        <v>99</v>
      </c>
      <c r="M47" s="61" t="s">
        <v>100</v>
      </c>
      <c r="N47" s="8"/>
      <c r="R47" s="16"/>
      <c r="S47" s="16"/>
      <c r="T47" s="16"/>
      <c r="U47" s="17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ht="23.25" customHeight="1">
      <c r="A48" s="63" t="s">
        <v>101</v>
      </c>
      <c r="B48" s="8"/>
      <c r="C48" s="26"/>
      <c r="D48" s="8"/>
      <c r="F48" s="64" t="s">
        <v>102</v>
      </c>
      <c r="G48" s="8"/>
      <c r="H48" s="8"/>
      <c r="L48" s="62" t="s">
        <v>103</v>
      </c>
      <c r="M48" s="61">
        <v>2.0</v>
      </c>
      <c r="R48" s="16"/>
      <c r="S48" s="16"/>
      <c r="T48" s="16"/>
      <c r="U48" s="17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15.0" customHeight="1">
      <c r="A49" s="32"/>
      <c r="B49" s="32"/>
      <c r="C49" s="26"/>
      <c r="D49" s="8"/>
      <c r="E49" s="32"/>
      <c r="F49" s="65"/>
      <c r="G49" s="8"/>
      <c r="H49" s="38"/>
      <c r="L49" s="26"/>
      <c r="M49" s="26"/>
      <c r="R49" s="16"/>
      <c r="S49" s="16"/>
      <c r="T49" s="16"/>
      <c r="U49" s="17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ht="23.25" customHeight="1">
      <c r="A50" s="66" t="s">
        <v>104</v>
      </c>
      <c r="B50" s="32"/>
      <c r="E50" s="32"/>
      <c r="F50" s="67" t="s">
        <v>105</v>
      </c>
      <c r="G50" s="32"/>
      <c r="H50" s="26"/>
      <c r="L50" s="26"/>
      <c r="M50" s="26"/>
      <c r="R50" s="16"/>
      <c r="S50" s="16"/>
      <c r="T50" s="16"/>
      <c r="U50" s="17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ht="12.75" customHeight="1">
      <c r="F51" s="65"/>
      <c r="L51" s="26"/>
      <c r="M51" s="26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ht="23.25" customHeight="1">
      <c r="A52" s="3" t="s">
        <v>106</v>
      </c>
      <c r="F52" s="68"/>
      <c r="R52" s="16"/>
      <c r="S52" s="16"/>
      <c r="T52" s="16"/>
      <c r="U52" s="17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ht="15.0" customHeight="1">
      <c r="L53" s="27"/>
      <c r="M53" s="8"/>
      <c r="N53" s="8"/>
      <c r="O53" s="8"/>
      <c r="P53" s="8"/>
      <c r="Q53" s="16"/>
      <c r="R53" s="16"/>
      <c r="S53" s="16"/>
      <c r="T53" s="16"/>
      <c r="U53" s="17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ht="23.25" customHeight="1">
      <c r="A54" s="66" t="s">
        <v>107</v>
      </c>
      <c r="S54" s="16"/>
      <c r="T54" s="69"/>
      <c r="U54" s="17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ht="23.25" customHeight="1">
      <c r="S55" s="16"/>
      <c r="T55" s="69"/>
      <c r="U55" s="17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ht="24.0" customHeight="1">
      <c r="S56" s="16"/>
      <c r="T56" s="69"/>
      <c r="U56" s="17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19.5" customHeight="1">
      <c r="B57" s="9"/>
      <c r="C57" s="10"/>
      <c r="D57" s="10"/>
      <c r="E57" s="11"/>
      <c r="F57" s="11"/>
      <c r="G57" s="12"/>
      <c r="H57" s="13"/>
      <c r="S57" s="16"/>
      <c r="T57" s="45"/>
      <c r="U57" s="17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23.25" customHeight="1">
      <c r="B58" s="15" t="s">
        <v>108</v>
      </c>
      <c r="C58" s="16"/>
      <c r="D58" s="16"/>
      <c r="E58" s="17"/>
      <c r="F58" s="17"/>
      <c r="G58" s="16"/>
      <c r="H58" s="1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ht="23.25" customHeight="1">
      <c r="B59" s="19"/>
      <c r="C59" s="20" t="s">
        <v>17</v>
      </c>
      <c r="H59" s="1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ht="18.75" customHeight="1">
      <c r="B60" s="21"/>
      <c r="C60" s="22"/>
      <c r="D60" s="22"/>
      <c r="E60" s="22"/>
      <c r="F60" s="22"/>
      <c r="G60" s="22"/>
      <c r="H60" s="70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ht="23.25" customHeight="1">
      <c r="C61" s="27"/>
      <c r="D61" s="16"/>
      <c r="E61" s="16"/>
      <c r="F61" s="17"/>
      <c r="G61" s="17"/>
      <c r="H61" s="16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ht="23.25" customHeight="1">
      <c r="B62" s="24" t="s">
        <v>18</v>
      </c>
      <c r="C62" s="27"/>
      <c r="D62" s="16"/>
      <c r="E62" s="16"/>
      <c r="F62" s="17"/>
      <c r="G62" s="17"/>
      <c r="H62" s="16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12.75" customHeight="1"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ht="18.0" customHeight="1">
      <c r="S64" s="27"/>
      <c r="T64" s="27"/>
      <c r="U64" s="27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ht="12.75" customHeight="1"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12.75" customHeight="1"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25.5" customHeight="1">
      <c r="L67" s="27"/>
      <c r="M67" s="4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18.0" customHeight="1">
      <c r="L68" s="2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ht="23.25" customHeight="1">
      <c r="L69" s="27"/>
      <c r="M69" s="50"/>
      <c r="N69" s="51"/>
      <c r="O69" s="51"/>
      <c r="P69" s="51"/>
      <c r="Q69" s="51"/>
      <c r="R69" s="50"/>
      <c r="S69" s="51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ht="18.0" customHeight="1">
      <c r="L70" s="2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ht="23.25" customHeight="1">
      <c r="L71" s="27"/>
      <c r="M71" s="16"/>
      <c r="N71" s="16"/>
      <c r="O71" s="17"/>
      <c r="P71" s="17"/>
      <c r="Q71" s="16"/>
      <c r="R71" s="16"/>
      <c r="S71" s="16"/>
      <c r="T71" s="59"/>
      <c r="U71" s="17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ht="23.25" customHeight="1">
      <c r="L72" s="27"/>
      <c r="M72" s="16"/>
      <c r="N72" s="16"/>
      <c r="O72" s="17"/>
      <c r="P72" s="17"/>
      <c r="Q72" s="16"/>
      <c r="R72" s="16"/>
      <c r="S72" s="16"/>
      <c r="T72" s="16"/>
      <c r="U72" s="17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ht="23.25" customHeight="1">
      <c r="L73" s="27"/>
      <c r="M73" s="16"/>
      <c r="N73" s="16"/>
      <c r="O73" s="17"/>
      <c r="P73" s="17"/>
      <c r="Q73" s="16"/>
      <c r="R73" s="16"/>
      <c r="S73" s="16"/>
      <c r="T73" s="59"/>
      <c r="U73" s="17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23.25" customHeight="1">
      <c r="L74" s="27"/>
      <c r="M74" s="16"/>
      <c r="N74" s="16"/>
      <c r="O74" s="17"/>
      <c r="P74" s="17"/>
      <c r="Q74" s="16"/>
      <c r="R74" s="16"/>
      <c r="S74" s="16"/>
      <c r="T74" s="16"/>
      <c r="U74" s="17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23.25" customHeight="1">
      <c r="L75" s="27"/>
      <c r="M75" s="16"/>
      <c r="N75" s="8"/>
      <c r="O75" s="1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23.25" customHeight="1">
      <c r="L76" s="27"/>
      <c r="M76" s="16"/>
      <c r="N76" s="16"/>
      <c r="O76" s="17"/>
      <c r="P76" s="17"/>
      <c r="Q76" s="16"/>
      <c r="R76" s="16"/>
      <c r="S76" s="16"/>
      <c r="T76" s="58"/>
      <c r="U76" s="17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23.25" customHeight="1">
      <c r="L77" s="27"/>
      <c r="M77" s="8"/>
      <c r="N77" s="8"/>
      <c r="O77" s="8"/>
      <c r="P77" s="8"/>
      <c r="Q77" s="16"/>
      <c r="R77" s="16"/>
      <c r="S77" s="16"/>
      <c r="T77" s="16"/>
      <c r="U77" s="17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23.25" customHeight="1">
      <c r="L78" s="27"/>
      <c r="M78" s="16"/>
      <c r="N78" s="8"/>
      <c r="O78" s="8"/>
      <c r="P78" s="8"/>
      <c r="Q78" s="16"/>
      <c r="R78" s="16"/>
      <c r="S78" s="16"/>
      <c r="T78" s="69"/>
      <c r="U78" s="17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23.25" customHeight="1">
      <c r="L79" s="27"/>
      <c r="M79" s="16"/>
      <c r="N79" s="16"/>
      <c r="O79" s="17"/>
      <c r="P79" s="17"/>
      <c r="Q79" s="16"/>
      <c r="R79" s="16"/>
      <c r="S79" s="16"/>
      <c r="T79" s="59"/>
      <c r="U79" s="17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ht="23.25" customHeight="1">
      <c r="L80" s="27"/>
      <c r="M80" s="16"/>
      <c r="N80" s="16"/>
      <c r="O80" s="17"/>
      <c r="P80" s="17"/>
      <c r="Q80" s="16"/>
      <c r="R80" s="8"/>
      <c r="S80" s="16"/>
      <c r="T80" s="69"/>
      <c r="U80" s="17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23.25" customHeight="1">
      <c r="L81" s="27"/>
      <c r="M81" s="16"/>
      <c r="N81" s="16"/>
      <c r="O81" s="17"/>
      <c r="P81" s="17"/>
      <c r="Q81" s="16"/>
      <c r="R81" s="16"/>
      <c r="S81" s="16"/>
      <c r="T81" s="58"/>
      <c r="U81" s="17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ht="23.25" customHeight="1">
      <c r="L82" s="27"/>
      <c r="M82" s="16"/>
      <c r="N82" s="16"/>
      <c r="O82" s="17"/>
      <c r="P82" s="1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12.75" customHeight="1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12.75" customHeight="1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18.0" customHeight="1">
      <c r="L85" s="26"/>
      <c r="M85" s="27"/>
      <c r="N85" s="27"/>
      <c r="O85" s="27"/>
      <c r="P85" s="27"/>
      <c r="Q85" s="27"/>
      <c r="R85" s="27"/>
      <c r="S85" s="27"/>
      <c r="T85" s="27"/>
      <c r="U85" s="27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25.5" customHeight="1">
      <c r="L86" s="27"/>
      <c r="M86" s="47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18.0" customHeight="1">
      <c r="L87" s="2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25.5" customHeight="1">
      <c r="L88" s="27"/>
      <c r="M88" s="47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18.0" customHeight="1">
      <c r="L89" s="2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23.25" customHeight="1">
      <c r="L90" s="27"/>
      <c r="M90" s="50"/>
      <c r="N90" s="51"/>
      <c r="O90" s="51"/>
      <c r="P90" s="51"/>
      <c r="Q90" s="51"/>
      <c r="R90" s="50"/>
      <c r="S90" s="51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18.0" customHeight="1">
      <c r="L91" s="2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23.25" customHeight="1">
      <c r="L92" s="27"/>
      <c r="M92" s="16"/>
      <c r="N92" s="16"/>
      <c r="O92" s="17"/>
      <c r="P92" s="17"/>
      <c r="Q92" s="16"/>
      <c r="R92" s="16"/>
      <c r="S92" s="16"/>
      <c r="T92" s="16"/>
      <c r="U92" s="17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23.25" customHeight="1">
      <c r="L93" s="27"/>
      <c r="M93" s="16"/>
      <c r="N93" s="16"/>
      <c r="O93" s="17"/>
      <c r="P93" s="17"/>
      <c r="Q93" s="16"/>
      <c r="R93" s="16"/>
      <c r="S93" s="16"/>
      <c r="T93" s="16"/>
      <c r="U93" s="17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23.25" customHeight="1">
      <c r="L94" s="27"/>
      <c r="M94" s="16"/>
      <c r="N94" s="16"/>
      <c r="O94" s="17"/>
      <c r="P94" s="17"/>
      <c r="Q94" s="16"/>
      <c r="R94" s="16"/>
      <c r="S94" s="16"/>
      <c r="T94" s="16"/>
      <c r="U94" s="17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23.25" customHeight="1">
      <c r="L95" s="27"/>
      <c r="M95" s="16"/>
      <c r="N95" s="16"/>
      <c r="O95" s="17"/>
      <c r="P95" s="17"/>
      <c r="Q95" s="16"/>
      <c r="R95" s="16"/>
      <c r="S95" s="16"/>
      <c r="T95" s="16"/>
      <c r="U95" s="17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23.25" customHeight="1">
      <c r="L96" s="27"/>
      <c r="M96" s="16"/>
      <c r="N96" s="8"/>
      <c r="O96" s="1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23.25" customHeight="1">
      <c r="L97" s="27"/>
      <c r="M97" s="16"/>
      <c r="N97" s="16"/>
      <c r="O97" s="17"/>
      <c r="P97" s="17"/>
      <c r="Q97" s="16"/>
      <c r="R97" s="16"/>
      <c r="S97" s="16"/>
      <c r="T97" s="16"/>
      <c r="U97" s="17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23.25" customHeight="1">
      <c r="L98" s="27"/>
      <c r="M98" s="8"/>
      <c r="N98" s="8"/>
      <c r="O98" s="8"/>
      <c r="P98" s="8"/>
      <c r="Q98" s="16"/>
      <c r="R98" s="16"/>
      <c r="S98" s="16"/>
      <c r="T98" s="16"/>
      <c r="U98" s="17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23.25" customHeight="1">
      <c r="L99" s="27"/>
      <c r="M99" s="16"/>
      <c r="N99" s="8"/>
      <c r="O99" s="8"/>
      <c r="P99" s="8"/>
      <c r="Q99" s="16"/>
      <c r="R99" s="16"/>
      <c r="S99" s="16"/>
      <c r="T99" s="69"/>
      <c r="U99" s="17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23.25" customHeight="1">
      <c r="L100" s="27"/>
      <c r="M100" s="16"/>
      <c r="N100" s="16"/>
      <c r="O100" s="17"/>
      <c r="P100" s="17"/>
      <c r="Q100" s="16"/>
      <c r="R100" s="16"/>
      <c r="S100" s="16"/>
      <c r="T100" s="45"/>
      <c r="U100" s="17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23.25" customHeight="1">
      <c r="L101" s="27"/>
      <c r="M101" s="16"/>
      <c r="N101" s="16"/>
      <c r="O101" s="17"/>
      <c r="P101" s="17"/>
      <c r="Q101" s="16"/>
      <c r="R101" s="8"/>
      <c r="S101" s="8"/>
      <c r="T101" s="8"/>
      <c r="U101" s="17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23.25" customHeight="1">
      <c r="L102" s="27"/>
      <c r="M102" s="16"/>
      <c r="N102" s="16"/>
      <c r="O102" s="17"/>
      <c r="P102" s="17"/>
      <c r="Q102" s="16"/>
      <c r="R102" s="8"/>
      <c r="S102" s="8"/>
      <c r="T102" s="8"/>
      <c r="U102" s="17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23.25" customHeight="1">
      <c r="L103" s="27"/>
      <c r="M103" s="16"/>
      <c r="N103" s="16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12.75" customHeight="1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18.0" customHeight="1">
      <c r="L105" s="26"/>
      <c r="M105" s="27"/>
      <c r="N105" s="27"/>
      <c r="O105" s="27"/>
      <c r="P105" s="27"/>
      <c r="Q105" s="27"/>
      <c r="R105" s="27"/>
      <c r="S105" s="27"/>
      <c r="T105" s="27"/>
      <c r="U105" s="27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ht="25.5" customHeight="1">
      <c r="L106" s="27"/>
      <c r="M106" s="47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18.0" customHeight="1">
      <c r="L107" s="2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25.5" customHeight="1">
      <c r="L108" s="27"/>
      <c r="M108" s="47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18.0" customHeight="1">
      <c r="L109" s="2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23.25" customHeight="1">
      <c r="L110" s="27"/>
      <c r="M110" s="50"/>
      <c r="N110" s="51"/>
      <c r="O110" s="51"/>
      <c r="P110" s="51"/>
      <c r="Q110" s="51"/>
      <c r="R110" s="50"/>
      <c r="S110" s="51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18.0" customHeight="1">
      <c r="L111" s="2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23.25" customHeight="1">
      <c r="L112" s="27"/>
      <c r="M112" s="16"/>
      <c r="N112" s="16"/>
      <c r="O112" s="17"/>
      <c r="P112" s="17"/>
      <c r="Q112" s="16"/>
      <c r="R112" s="16"/>
      <c r="S112" s="16"/>
      <c r="T112" s="17"/>
      <c r="U112" s="17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23.25" customHeight="1">
      <c r="L113" s="27"/>
      <c r="M113" s="16"/>
      <c r="N113" s="16"/>
      <c r="O113" s="17"/>
      <c r="P113" s="17"/>
      <c r="Q113" s="16"/>
      <c r="R113" s="16"/>
      <c r="S113" s="16"/>
      <c r="T113" s="17"/>
      <c r="U113" s="17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23.25" customHeight="1">
      <c r="L114" s="27"/>
      <c r="M114" s="16"/>
      <c r="N114" s="16"/>
      <c r="O114" s="17"/>
      <c r="P114" s="17"/>
      <c r="Q114" s="16"/>
      <c r="R114" s="16"/>
      <c r="S114" s="16"/>
      <c r="T114" s="59"/>
      <c r="U114" s="17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23.25" customHeight="1">
      <c r="L115" s="27"/>
      <c r="M115" s="16"/>
      <c r="N115" s="16"/>
      <c r="O115" s="17"/>
      <c r="P115" s="17"/>
      <c r="Q115" s="16"/>
      <c r="R115" s="16"/>
      <c r="S115" s="16"/>
      <c r="T115" s="17"/>
      <c r="U115" s="17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23.25" customHeight="1">
      <c r="L116" s="27"/>
      <c r="M116" s="16"/>
      <c r="N116" s="8"/>
      <c r="O116" s="17"/>
      <c r="P116" s="8"/>
      <c r="Q116" s="8"/>
      <c r="R116" s="8"/>
      <c r="S116" s="8"/>
      <c r="T116" s="26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23.25" customHeight="1">
      <c r="L117" s="27"/>
      <c r="M117" s="16"/>
      <c r="N117" s="16"/>
      <c r="O117" s="17"/>
      <c r="P117" s="17"/>
      <c r="Q117" s="16"/>
      <c r="R117" s="16"/>
      <c r="S117" s="16"/>
      <c r="T117" s="58"/>
      <c r="U117" s="17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23.25" customHeight="1">
      <c r="L118" s="27"/>
      <c r="M118" s="8"/>
      <c r="N118" s="8"/>
      <c r="O118" s="8"/>
      <c r="P118" s="8"/>
      <c r="Q118" s="16"/>
      <c r="R118" s="16"/>
      <c r="S118" s="16"/>
      <c r="T118" s="17"/>
      <c r="U118" s="17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23.25" customHeight="1">
      <c r="L119" s="27"/>
      <c r="M119" s="16"/>
      <c r="N119" s="8"/>
      <c r="O119" s="8"/>
      <c r="P119" s="8"/>
      <c r="Q119" s="16"/>
      <c r="R119" s="16"/>
      <c r="S119" s="16"/>
      <c r="T119" s="58"/>
      <c r="U119" s="17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23.25" customHeight="1">
      <c r="L120" s="27"/>
      <c r="M120" s="16"/>
      <c r="N120" s="16"/>
      <c r="O120" s="17"/>
      <c r="P120" s="17"/>
      <c r="Q120" s="16"/>
      <c r="R120" s="16"/>
      <c r="S120" s="16"/>
      <c r="T120" s="71"/>
      <c r="U120" s="17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ht="23.25" customHeight="1">
      <c r="L121" s="27"/>
      <c r="M121" s="16"/>
      <c r="N121" s="16"/>
      <c r="O121" s="17"/>
      <c r="P121" s="17"/>
      <c r="Q121" s="16"/>
      <c r="R121" s="8"/>
      <c r="S121" s="8"/>
      <c r="T121" s="8"/>
      <c r="U121" s="17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23.25" customHeight="1">
      <c r="L122" s="27"/>
      <c r="M122" s="16"/>
      <c r="N122" s="16"/>
      <c r="O122" s="17"/>
      <c r="P122" s="17"/>
      <c r="Q122" s="16"/>
      <c r="R122" s="8"/>
      <c r="S122" s="8"/>
      <c r="T122" s="8"/>
      <c r="U122" s="17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12.75" customHeight="1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ht="12.75" customHeight="1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18.0" customHeight="1">
      <c r="L125" s="26"/>
      <c r="M125" s="27"/>
      <c r="N125" s="27"/>
      <c r="O125" s="27"/>
      <c r="P125" s="27"/>
      <c r="Q125" s="27"/>
      <c r="R125" s="27"/>
      <c r="S125" s="27"/>
      <c r="T125" s="27"/>
      <c r="U125" s="27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25.5" customHeight="1">
      <c r="L126" s="27"/>
      <c r="M126" s="47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ht="18.0" customHeight="1">
      <c r="L127" s="2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25.5" customHeight="1">
      <c r="L128" s="27"/>
      <c r="M128" s="47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18.0" customHeight="1">
      <c r="L129" s="2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23.25" customHeight="1">
      <c r="L130" s="27"/>
      <c r="M130" s="50"/>
      <c r="N130" s="51"/>
      <c r="O130" s="51"/>
      <c r="P130" s="51"/>
      <c r="Q130" s="51"/>
      <c r="R130" s="50"/>
      <c r="S130" s="51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18.0" customHeight="1">
      <c r="L131" s="2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23.25" customHeight="1">
      <c r="L132" s="27"/>
      <c r="M132" s="16"/>
      <c r="N132" s="8"/>
      <c r="O132" s="17"/>
      <c r="P132" s="8"/>
      <c r="Q132" s="16"/>
      <c r="R132" s="16"/>
      <c r="S132" s="16"/>
      <c r="T132" s="16"/>
      <c r="U132" s="17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23.25" customHeight="1">
      <c r="L133" s="27"/>
      <c r="M133" s="16"/>
      <c r="N133" s="16"/>
      <c r="O133" s="17"/>
      <c r="P133" s="17"/>
      <c r="Q133" s="16"/>
      <c r="R133" s="16"/>
      <c r="S133" s="16"/>
      <c r="T133" s="16"/>
      <c r="U133" s="17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23.25" customHeight="1">
      <c r="L134" s="27"/>
      <c r="M134" s="8"/>
      <c r="N134" s="8"/>
      <c r="O134" s="8"/>
      <c r="P134" s="8"/>
      <c r="Q134" s="16"/>
      <c r="R134" s="16"/>
      <c r="S134" s="16"/>
      <c r="T134" s="16"/>
      <c r="U134" s="17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ht="23.25" customHeight="1">
      <c r="L135" s="27"/>
      <c r="M135" s="16"/>
      <c r="N135" s="16"/>
      <c r="O135" s="8"/>
      <c r="P135" s="8"/>
      <c r="Q135" s="16"/>
      <c r="R135" s="16"/>
      <c r="S135" s="16"/>
      <c r="T135" s="16"/>
      <c r="U135" s="17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ht="23.25" customHeight="1">
      <c r="L136" s="27"/>
      <c r="M136" s="16"/>
      <c r="N136" s="16"/>
      <c r="O136" s="17"/>
      <c r="P136" s="17"/>
      <c r="Q136" s="8"/>
      <c r="R136" s="16"/>
      <c r="S136" s="16"/>
      <c r="T136" s="16"/>
      <c r="U136" s="17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23.25" customHeight="1">
      <c r="L137" s="27"/>
      <c r="M137" s="16"/>
      <c r="N137" s="16"/>
      <c r="O137" s="17"/>
      <c r="P137" s="17"/>
      <c r="Q137" s="16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23.25" customHeight="1">
      <c r="L138" s="27"/>
      <c r="M138" s="16"/>
      <c r="N138" s="16"/>
      <c r="O138" s="17"/>
      <c r="P138" s="17"/>
      <c r="Q138" s="16"/>
      <c r="R138" s="16"/>
      <c r="S138" s="16"/>
      <c r="T138" s="16"/>
      <c r="U138" s="17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23.25" customHeight="1">
      <c r="L139" s="27"/>
      <c r="M139" s="8"/>
      <c r="N139" s="8"/>
      <c r="O139" s="8"/>
      <c r="P139" s="8"/>
      <c r="Q139" s="16"/>
      <c r="R139" s="16"/>
      <c r="S139" s="16"/>
      <c r="T139" s="69"/>
      <c r="U139" s="17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23.25" customHeight="1">
      <c r="L140" s="27"/>
      <c r="M140" s="16"/>
      <c r="N140" s="16"/>
      <c r="O140" s="17"/>
      <c r="P140" s="17"/>
      <c r="Q140" s="16"/>
      <c r="R140" s="8"/>
      <c r="S140" s="8"/>
      <c r="T140" s="45"/>
      <c r="U140" s="17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ht="23.25" customHeight="1">
      <c r="L141" s="27"/>
      <c r="M141" s="16"/>
      <c r="N141" s="16"/>
      <c r="O141" s="17"/>
      <c r="P141" s="17"/>
      <c r="Q141" s="16"/>
      <c r="R141" s="8"/>
      <c r="S141" s="8"/>
      <c r="T141" s="8"/>
      <c r="U141" s="17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23.25" customHeight="1">
      <c r="L142" s="27"/>
      <c r="M142" s="16"/>
      <c r="N142" s="16"/>
      <c r="O142" s="17"/>
      <c r="P142" s="17"/>
      <c r="Q142" s="16"/>
      <c r="R142" s="8"/>
      <c r="S142" s="8"/>
      <c r="T142" s="8"/>
      <c r="U142" s="17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18.0" customHeight="1">
      <c r="L143" s="26"/>
      <c r="M143" s="27"/>
      <c r="N143" s="27"/>
      <c r="O143" s="27"/>
      <c r="P143" s="27"/>
      <c r="Q143" s="27"/>
      <c r="R143" s="27"/>
      <c r="S143" s="27"/>
      <c r="T143" s="27"/>
      <c r="U143" s="27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25.5" customHeight="1">
      <c r="L144" s="27"/>
      <c r="M144" s="47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ht="18.0" customHeight="1">
      <c r="L145" s="2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ht="25.5" customHeight="1">
      <c r="L146" s="27"/>
      <c r="M146" s="4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18.0" customHeight="1">
      <c r="L147" s="2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23.25" customHeight="1">
      <c r="L148" s="27"/>
      <c r="M148" s="50"/>
      <c r="N148" s="51"/>
      <c r="O148" s="51"/>
      <c r="P148" s="51"/>
      <c r="Q148" s="51"/>
      <c r="R148" s="50"/>
      <c r="S148" s="51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ht="18.0" customHeight="1">
      <c r="L149" s="2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ht="23.25" customHeight="1">
      <c r="L150" s="27"/>
      <c r="M150" s="16"/>
      <c r="N150" s="8"/>
      <c r="O150" s="17"/>
      <c r="P150" s="8"/>
      <c r="Q150" s="16"/>
      <c r="R150" s="16"/>
      <c r="S150" s="16"/>
      <c r="T150" s="17"/>
      <c r="U150" s="17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ht="23.25" customHeight="1">
      <c r="L151" s="27"/>
      <c r="M151" s="16"/>
      <c r="N151" s="16"/>
      <c r="O151" s="17"/>
      <c r="P151" s="17"/>
      <c r="Q151" s="16"/>
      <c r="R151" s="16"/>
      <c r="S151" s="16"/>
      <c r="T151" s="17"/>
      <c r="U151" s="17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ht="23.25" customHeight="1">
      <c r="L152" s="27"/>
      <c r="M152" s="8"/>
      <c r="N152" s="8"/>
      <c r="O152" s="8"/>
      <c r="P152" s="8"/>
      <c r="Q152" s="16"/>
      <c r="R152" s="16"/>
      <c r="S152" s="16"/>
      <c r="T152" s="59"/>
      <c r="U152" s="17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ht="23.25" customHeight="1">
      <c r="L153" s="27"/>
      <c r="M153" s="16"/>
      <c r="N153" s="16"/>
      <c r="O153" s="8"/>
      <c r="P153" s="8"/>
      <c r="Q153" s="16"/>
      <c r="R153" s="16"/>
      <c r="S153" s="16"/>
      <c r="T153" s="17"/>
      <c r="U153" s="17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ht="23.25" customHeight="1">
      <c r="L154" s="27"/>
      <c r="M154" s="16"/>
      <c r="N154" s="16"/>
      <c r="O154" s="17"/>
      <c r="P154" s="17"/>
      <c r="Q154" s="8"/>
      <c r="R154" s="16"/>
      <c r="S154" s="16"/>
      <c r="T154" s="72"/>
      <c r="U154" s="17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ht="23.25" customHeight="1">
      <c r="L155" s="27"/>
      <c r="M155" s="16"/>
      <c r="N155" s="16"/>
      <c r="O155" s="17"/>
      <c r="P155" s="17"/>
      <c r="Q155" s="16"/>
      <c r="R155" s="8"/>
      <c r="S155" s="8"/>
      <c r="T155" s="26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ht="23.25" customHeight="1">
      <c r="L156" s="27"/>
      <c r="M156" s="16"/>
      <c r="N156" s="16"/>
      <c r="O156" s="17"/>
      <c r="P156" s="17"/>
      <c r="Q156" s="16"/>
      <c r="R156" s="16"/>
      <c r="S156" s="16"/>
      <c r="T156" s="17"/>
      <c r="U156" s="17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ht="23.25" customHeight="1">
      <c r="L157" s="27"/>
      <c r="M157" s="8"/>
      <c r="N157" s="8"/>
      <c r="O157" s="8"/>
      <c r="P157" s="8"/>
      <c r="Q157" s="16"/>
      <c r="R157" s="16"/>
      <c r="S157" s="16"/>
      <c r="T157" s="73"/>
      <c r="U157" s="17"/>
    </row>
    <row r="158" ht="23.25" customHeight="1">
      <c r="L158" s="27"/>
      <c r="M158" s="16"/>
      <c r="N158" s="16"/>
      <c r="O158" s="17"/>
      <c r="P158" s="17"/>
      <c r="Q158" s="16"/>
      <c r="T158" s="45"/>
      <c r="U158" s="17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59:G59"/>
  </mergeCells>
  <hyperlinks>
    <hyperlink r:id="rId1" ref="C5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3.0"/>
    <col customWidth="1" min="3" max="4" width="8.0"/>
    <col customWidth="1" min="5" max="5" width="5.75"/>
    <col customWidth="1" min="6" max="6" width="13.25"/>
    <col customWidth="1" min="7" max="7" width="12.75"/>
    <col customWidth="1" min="8" max="26" width="8.0"/>
  </cols>
  <sheetData>
    <row r="1" ht="20.25" customHeight="1">
      <c r="A1" s="25" t="s">
        <v>109</v>
      </c>
    </row>
    <row r="2" ht="20.25" customHeight="1">
      <c r="A2" s="25"/>
    </row>
    <row r="3" ht="18.0" customHeight="1">
      <c r="A3" s="14" t="s">
        <v>110</v>
      </c>
    </row>
    <row r="4" ht="15.75" customHeight="1">
      <c r="A4" s="3"/>
    </row>
    <row r="5" ht="16.5" customHeight="1">
      <c r="A5" s="28" t="s">
        <v>111</v>
      </c>
      <c r="B5" s="29"/>
      <c r="C5" s="29"/>
      <c r="D5" s="29"/>
      <c r="E5" s="29"/>
      <c r="F5" s="29"/>
      <c r="G5" s="29"/>
      <c r="H5" s="29"/>
      <c r="I5" s="30"/>
    </row>
    <row r="6" ht="12.75" customHeight="1"/>
    <row r="7" ht="15.75" customHeight="1">
      <c r="A7" s="31" t="s">
        <v>22</v>
      </c>
      <c r="B7" s="3"/>
      <c r="C7" s="3"/>
      <c r="D7" s="3"/>
      <c r="E7" s="3"/>
      <c r="F7" s="31" t="s">
        <v>23</v>
      </c>
      <c r="G7" s="3"/>
    </row>
    <row r="8" ht="13.5" customHeight="1"/>
    <row r="9" ht="19.5" customHeight="1">
      <c r="A9" s="32" t="s">
        <v>112</v>
      </c>
      <c r="B9" s="8"/>
      <c r="C9" s="34">
        <v>10600.0</v>
      </c>
      <c r="D9" s="26" t="s">
        <v>113</v>
      </c>
      <c r="F9" s="32" t="s">
        <v>114</v>
      </c>
      <c r="G9" s="8"/>
      <c r="H9" s="35">
        <f>C11*C9</f>
        <v>3180</v>
      </c>
      <c r="I9" s="26" t="s">
        <v>115</v>
      </c>
    </row>
    <row r="10" ht="13.5" customHeight="1">
      <c r="A10" s="32"/>
      <c r="B10" s="32"/>
      <c r="C10" s="8"/>
      <c r="E10" s="32"/>
      <c r="H10" s="36"/>
    </row>
    <row r="11" ht="19.5" customHeight="1">
      <c r="A11" s="32" t="s">
        <v>116</v>
      </c>
      <c r="B11" s="8"/>
      <c r="C11" s="34">
        <v>0.3</v>
      </c>
      <c r="D11" s="26"/>
      <c r="E11" s="32"/>
      <c r="F11" s="32" t="s">
        <v>117</v>
      </c>
      <c r="G11" s="8"/>
      <c r="H11" s="35">
        <f>C9*C19</f>
        <v>23850</v>
      </c>
      <c r="I11" s="26" t="s">
        <v>118</v>
      </c>
    </row>
    <row r="12" ht="12.75" customHeight="1">
      <c r="A12" s="32"/>
      <c r="B12" s="32"/>
      <c r="C12" s="8"/>
      <c r="E12" s="32"/>
      <c r="F12" s="32"/>
      <c r="G12" s="32"/>
      <c r="H12" s="26"/>
      <c r="I12" s="26"/>
    </row>
    <row r="13" ht="13.5" customHeight="1">
      <c r="A13" s="32" t="s">
        <v>119</v>
      </c>
      <c r="B13" s="32"/>
      <c r="C13" s="8"/>
      <c r="E13" s="32"/>
      <c r="F13" s="39" t="s">
        <v>120</v>
      </c>
    </row>
    <row r="14" ht="19.5" customHeight="1">
      <c r="A14" s="32" t="s">
        <v>121</v>
      </c>
      <c r="B14" s="8"/>
      <c r="C14" s="34">
        <v>40.0</v>
      </c>
      <c r="D14" s="26" t="s">
        <v>122</v>
      </c>
      <c r="E14" s="26"/>
      <c r="F14" s="32"/>
      <c r="G14" s="32"/>
      <c r="H14" s="26"/>
      <c r="I14" s="26"/>
    </row>
    <row r="15" ht="19.5" customHeight="1">
      <c r="A15" s="32"/>
      <c r="B15" s="8"/>
      <c r="D15" s="26"/>
      <c r="E15" s="26"/>
      <c r="F15" s="41" t="s">
        <v>123</v>
      </c>
      <c r="H15" s="35">
        <f>C9/C14</f>
        <v>265</v>
      </c>
      <c r="I15" s="26" t="s">
        <v>124</v>
      </c>
    </row>
    <row r="16" ht="13.5" customHeight="1">
      <c r="A16" s="32" t="s">
        <v>119</v>
      </c>
      <c r="B16" s="32"/>
      <c r="C16" s="8"/>
    </row>
    <row r="17" ht="19.5" customHeight="1">
      <c r="A17" s="32" t="s">
        <v>125</v>
      </c>
      <c r="B17" s="8"/>
      <c r="C17" s="34">
        <v>100.0</v>
      </c>
      <c r="D17" s="26" t="s">
        <v>126</v>
      </c>
      <c r="F17" s="32" t="s">
        <v>127</v>
      </c>
      <c r="H17" s="35">
        <f>H11/C17</f>
        <v>238.5</v>
      </c>
      <c r="I17" s="26" t="s">
        <v>128</v>
      </c>
    </row>
    <row r="18" ht="13.5" customHeight="1"/>
    <row r="19" ht="19.5" customHeight="1">
      <c r="A19" s="32" t="s">
        <v>129</v>
      </c>
      <c r="B19" s="8"/>
      <c r="C19" s="34">
        <v>2.25</v>
      </c>
      <c r="F19" s="32" t="s">
        <v>44</v>
      </c>
      <c r="H19" s="35">
        <f>IF(H15&gt;H17,H15,H17)</f>
        <v>265</v>
      </c>
      <c r="I19" s="26" t="s">
        <v>130</v>
      </c>
    </row>
    <row r="20" ht="12.75" customHeight="1">
      <c r="A20" s="32" t="s">
        <v>57</v>
      </c>
    </row>
    <row r="21" ht="12.75" customHeight="1"/>
    <row r="22" ht="15.0" customHeight="1">
      <c r="A22" s="52" t="s">
        <v>63</v>
      </c>
    </row>
    <row r="23" ht="13.5" customHeight="1"/>
    <row r="24" ht="19.5" customHeight="1">
      <c r="A24" s="32" t="s">
        <v>131</v>
      </c>
      <c r="B24" s="8"/>
      <c r="C24" s="34">
        <v>2.0</v>
      </c>
      <c r="F24" s="32" t="s">
        <v>132</v>
      </c>
      <c r="H24" s="35">
        <f>((H19/C24)*4/PI())^0.5</f>
        <v>12.98861962</v>
      </c>
      <c r="I24" s="26" t="s">
        <v>67</v>
      </c>
    </row>
    <row r="25" ht="12.75" customHeight="1"/>
    <row r="26" ht="15.0" customHeight="1">
      <c r="A26" s="52" t="s">
        <v>69</v>
      </c>
    </row>
    <row r="27" ht="13.5" customHeight="1">
      <c r="F27" s="41" t="s">
        <v>71</v>
      </c>
    </row>
    <row r="28" ht="19.5" customHeight="1">
      <c r="F28" s="41" t="s">
        <v>74</v>
      </c>
      <c r="H28" s="35">
        <f>(C9/C24)/(PI()*C30)</f>
        <v>8.435211984</v>
      </c>
      <c r="I28" s="26" t="s">
        <v>67</v>
      </c>
    </row>
    <row r="29" ht="13.5" customHeight="1">
      <c r="A29" s="41" t="s">
        <v>133</v>
      </c>
    </row>
    <row r="30" ht="19.5" customHeight="1">
      <c r="A30" s="41" t="s">
        <v>134</v>
      </c>
      <c r="C30" s="56">
        <v>200.0</v>
      </c>
      <c r="D30" s="26" t="s">
        <v>135</v>
      </c>
      <c r="F30" s="41" t="s">
        <v>77</v>
      </c>
    </row>
    <row r="31" ht="19.5" customHeight="1">
      <c r="F31" s="41" t="s">
        <v>80</v>
      </c>
      <c r="H31" s="35">
        <f>(C9/(2*C24))/(PI()*C30)</f>
        <v>4.217605992</v>
      </c>
      <c r="I31" s="26" t="s">
        <v>67</v>
      </c>
    </row>
    <row r="32" ht="12.75" customHeight="1"/>
    <row r="33" ht="15.0" customHeight="1">
      <c r="A33" s="52" t="s">
        <v>82</v>
      </c>
      <c r="J33" s="8" t="s">
        <v>61</v>
      </c>
    </row>
    <row r="34" ht="13.5" customHeight="1">
      <c r="J34" s="41" t="s">
        <v>136</v>
      </c>
    </row>
    <row r="35" ht="19.5" customHeight="1">
      <c r="A35" s="32" t="s">
        <v>137</v>
      </c>
      <c r="B35" s="8"/>
      <c r="C35" s="34">
        <v>2.0</v>
      </c>
      <c r="F35" s="32" t="s">
        <v>138</v>
      </c>
      <c r="H35" s="57">
        <f>((H19/C35)/(C36))^0.5</f>
        <v>5.755432217</v>
      </c>
      <c r="I35" s="26" t="s">
        <v>67</v>
      </c>
    </row>
    <row r="36" ht="19.5" customHeight="1">
      <c r="A36" s="41" t="s">
        <v>139</v>
      </c>
      <c r="C36" s="34">
        <v>4.0</v>
      </c>
      <c r="F36" s="32" t="s">
        <v>140</v>
      </c>
      <c r="H36" s="57">
        <f>(H19/C36)/H35</f>
        <v>11.51086443</v>
      </c>
      <c r="I36" s="26" t="s">
        <v>67</v>
      </c>
      <c r="J36" s="53" t="s">
        <v>64</v>
      </c>
    </row>
    <row r="37" ht="14.25" customHeight="1">
      <c r="J37" s="53" t="s">
        <v>68</v>
      </c>
    </row>
    <row r="38" ht="15.0" customHeight="1">
      <c r="A38" s="52" t="s">
        <v>91</v>
      </c>
    </row>
    <row r="39" ht="11.25" customHeight="1"/>
    <row r="40" ht="13.5" customHeight="1">
      <c r="A40" s="41" t="s">
        <v>141</v>
      </c>
      <c r="F40" s="41" t="s">
        <v>142</v>
      </c>
      <c r="I40" s="26"/>
    </row>
    <row r="41" ht="19.5" customHeight="1">
      <c r="A41" s="41" t="s">
        <v>143</v>
      </c>
      <c r="C41" s="56">
        <v>200.0</v>
      </c>
      <c r="D41" s="26" t="s">
        <v>144</v>
      </c>
      <c r="F41" s="41" t="s">
        <v>96</v>
      </c>
      <c r="H41" s="57">
        <f>(C9/C35)/(C41*H35)</f>
        <v>4.604345773</v>
      </c>
    </row>
    <row r="42" ht="12.75" customHeight="1"/>
    <row r="43" ht="23.25" customHeight="1">
      <c r="B43" s="63" t="s">
        <v>145</v>
      </c>
      <c r="C43" s="8"/>
      <c r="D43" s="26"/>
      <c r="E43" s="8"/>
      <c r="K43" s="54" t="s">
        <v>81</v>
      </c>
      <c r="L43" s="27"/>
      <c r="M43" s="16"/>
      <c r="N43" s="16"/>
      <c r="O43" s="16"/>
    </row>
    <row r="44" ht="23.25" customHeight="1">
      <c r="B44" s="32"/>
      <c r="C44" s="32"/>
      <c r="D44" s="26"/>
      <c r="E44" s="8"/>
      <c r="F44" s="32"/>
      <c r="L44" s="27"/>
      <c r="M44" s="16"/>
      <c r="N44" s="16"/>
      <c r="O44" s="8"/>
    </row>
    <row r="45" ht="15.75" customHeight="1">
      <c r="B45" s="66" t="s">
        <v>146</v>
      </c>
      <c r="C45" s="32"/>
      <c r="F45" s="32"/>
      <c r="L45" s="39" t="s">
        <v>83</v>
      </c>
      <c r="M45" s="39" t="s">
        <v>84</v>
      </c>
      <c r="N45" s="8"/>
      <c r="O45" s="8"/>
    </row>
    <row r="46" ht="18.0" customHeight="1">
      <c r="L46" s="8"/>
      <c r="M46" s="8"/>
      <c r="N46" s="8"/>
      <c r="O46" s="27"/>
    </row>
    <row r="47" ht="18.0" customHeight="1">
      <c r="B47" s="66" t="s">
        <v>147</v>
      </c>
      <c r="L47" s="60" t="s">
        <v>89</v>
      </c>
      <c r="M47" s="61">
        <v>3.0</v>
      </c>
      <c r="N47" s="27"/>
      <c r="O47" s="8"/>
    </row>
    <row r="48" ht="14.25" customHeight="1">
      <c r="L48" s="60" t="s">
        <v>90</v>
      </c>
      <c r="M48" s="61">
        <v>2.9</v>
      </c>
      <c r="N48" s="8"/>
      <c r="O48" s="8"/>
    </row>
    <row r="49" ht="14.25" customHeight="1">
      <c r="L49" s="60" t="s">
        <v>92</v>
      </c>
      <c r="M49" s="61">
        <v>2.8</v>
      </c>
      <c r="N49" s="8"/>
      <c r="O49" s="8"/>
    </row>
    <row r="50" ht="15.0" customHeight="1">
      <c r="L50" s="60" t="s">
        <v>94</v>
      </c>
      <c r="M50" s="61">
        <v>2.7</v>
      </c>
      <c r="N50" s="8"/>
      <c r="O50" s="8"/>
    </row>
    <row r="51" ht="23.25" customHeight="1">
      <c r="B51" s="9"/>
      <c r="C51" s="10"/>
      <c r="D51" s="10"/>
      <c r="E51" s="11"/>
      <c r="F51" s="11"/>
      <c r="G51" s="12"/>
      <c r="H51" s="13"/>
      <c r="L51" s="60" t="s">
        <v>97</v>
      </c>
      <c r="M51" s="61">
        <v>2.6</v>
      </c>
      <c r="N51" s="8"/>
      <c r="O51" s="51"/>
    </row>
    <row r="52" ht="23.25" customHeight="1">
      <c r="B52" s="15" t="s">
        <v>108</v>
      </c>
      <c r="C52" s="16"/>
      <c r="D52" s="16"/>
      <c r="E52" s="17"/>
      <c r="F52" s="17"/>
      <c r="G52" s="16"/>
      <c r="H52" s="18"/>
      <c r="L52" s="62" t="s">
        <v>98</v>
      </c>
      <c r="M52" s="61">
        <v>2.5</v>
      </c>
      <c r="N52" s="51"/>
      <c r="O52" s="8"/>
    </row>
    <row r="53" ht="18.0" customHeight="1">
      <c r="B53" s="19"/>
      <c r="C53" s="20" t="s">
        <v>17</v>
      </c>
      <c r="H53" s="18"/>
      <c r="L53" s="62" t="s">
        <v>99</v>
      </c>
      <c r="M53" s="61" t="s">
        <v>100</v>
      </c>
      <c r="N53" s="8"/>
    </row>
    <row r="54" ht="15.0" customHeight="1">
      <c r="B54" s="21"/>
      <c r="C54" s="22"/>
      <c r="D54" s="22"/>
      <c r="E54" s="22"/>
      <c r="F54" s="22"/>
      <c r="G54" s="22"/>
      <c r="H54" s="70"/>
      <c r="L54" s="62" t="s">
        <v>103</v>
      </c>
      <c r="M54" s="61">
        <v>2.0</v>
      </c>
    </row>
    <row r="55" ht="23.25" customHeight="1">
      <c r="C55" s="27"/>
      <c r="D55" s="16"/>
      <c r="E55" s="16"/>
      <c r="F55" s="17"/>
      <c r="G55" s="17"/>
      <c r="H55" s="16"/>
      <c r="L55" s="26"/>
      <c r="M55" s="26"/>
    </row>
    <row r="56" ht="23.25" customHeight="1">
      <c r="B56" s="24" t="s">
        <v>18</v>
      </c>
      <c r="C56" s="27"/>
      <c r="D56" s="16"/>
      <c r="E56" s="16"/>
      <c r="F56" s="17"/>
      <c r="G56" s="17"/>
      <c r="H56" s="16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53:G53"/>
  </mergeCells>
  <hyperlinks>
    <hyperlink r:id="rId1" ref="C53"/>
  </hyperlinks>
  <printOptions/>
  <pageMargins bottom="0.75" footer="0.0" header="0.0" left="0.7" right="0.7" top="0.75"/>
  <pageSetup orientation="landscape"/>
  <drawing r:id="rId2"/>
</worksheet>
</file>