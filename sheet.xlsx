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ontents" sheetId="1" r:id="rId5"/>
    <sheet state="visible" name="2. Horiz Flow Grit Chamber Des" sheetId="2" r:id="rId6"/>
    <sheet state="visible" name="3. Est. of Peaking Factor" sheetId="3" r:id="rId7"/>
  </sheets>
  <definedNames>
    <definedName name="DesignAveFlo">'2. Horiz Flow Grit Chamber Des'!$C$7</definedName>
  </definedNames>
  <calcPr/>
</workbook>
</file>

<file path=xl/sharedStrings.xml><?xml version="1.0" encoding="utf-8"?>
<sst xmlns="http://schemas.openxmlformats.org/spreadsheetml/2006/main" count="101" uniqueCount="87">
  <si>
    <t>Workbook Contents</t>
  </si>
  <si>
    <t>Click on tabs at the bottom of the screen to access the following:</t>
  </si>
  <si>
    <r>
      <rPr>
        <rFont val="Arial"/>
        <b/>
        <color theme="1"/>
        <sz val="12.0"/>
      </rPr>
      <t>Tab 1.</t>
    </r>
    <r>
      <rPr>
        <rFont val="Arial"/>
        <color theme="1"/>
        <sz val="12.0"/>
      </rPr>
      <t xml:space="preserve"> Contents (current tab)</t>
    </r>
  </si>
  <si>
    <r>
      <rPr>
        <rFont val="Arial"/>
        <b/>
        <color theme="1"/>
        <sz val="12.0"/>
      </rPr>
      <t>Tab 2.</t>
    </r>
    <r>
      <rPr>
        <rFont val="Arial"/>
        <color theme="1"/>
        <sz val="12.0"/>
      </rPr>
      <t xml:space="preserve"> Horiz. Flow Grit Chamber Design</t>
    </r>
  </si>
  <si>
    <r>
      <rPr>
        <rFont val="Arial"/>
        <b/>
        <color theme="1"/>
        <sz val="12.0"/>
      </rPr>
      <t>Tab 3.</t>
    </r>
    <r>
      <rPr>
        <rFont val="Arial"/>
        <color theme="1"/>
        <sz val="12.0"/>
      </rPr>
      <t xml:space="preserve"> Estimation of Peaking Factor</t>
    </r>
  </si>
  <si>
    <t>Why you shouldn’t give copies of this workbook away</t>
  </si>
  <si>
    <t xml:space="preserve">We at EngineeringExcelTemplates.com hope that you find this workbook useful.  If you </t>
  </si>
  <si>
    <t xml:space="preserve">would like us to develop additional useful spreadsheets for you in the future, then encourage </t>
  </si>
  <si>
    <t xml:space="preserve">your friends and colleagues to buy their own copies, rather than allowing them to copy </t>
  </si>
  <si>
    <t xml:space="preserve">the spreadsheet you purchased.  We have deliberately set our prices so low that no one </t>
  </si>
  <si>
    <t xml:space="preserve">can really claim that they can’t afford to pay.  But low prices will work for us—that is, we </t>
  </si>
  <si>
    <t xml:space="preserve">can stay in business—only if we can sell enough copies.  Bottom line: the more you get </t>
  </si>
  <si>
    <t xml:space="preserve">other people to pay for their own copies, the more low-cost useful spreadsheets will be </t>
  </si>
  <si>
    <t>available for you in the future.</t>
  </si>
  <si>
    <t>This workbook is provided "as is", without warranty of any kind, express or</t>
  </si>
  <si>
    <t>implied.</t>
  </si>
  <si>
    <t xml:space="preserve">       Find more Excel spreadsheets for engineering at</t>
  </si>
  <si>
    <t>EngineeringExcelTemplates.com</t>
  </si>
  <si>
    <t>Copyright © 2014 Engineering Excel Templates. All Rights Reserved.</t>
  </si>
  <si>
    <t>Horiz. Flow Grit Chamber Design Calculations - S.I. units</t>
  </si>
  <si>
    <r>
      <rPr>
        <rFont val="Arial"/>
        <b/>
        <color theme="1"/>
        <sz val="12.0"/>
      </rPr>
      <t>Instructions</t>
    </r>
    <r>
      <rPr>
        <rFont val="Arial"/>
        <b/>
        <i/>
        <color theme="1"/>
        <sz val="12.0"/>
      </rPr>
      <t>:</t>
    </r>
    <r>
      <rPr>
        <rFont val="Arial"/>
        <b val="0"/>
        <i/>
        <color theme="1"/>
        <sz val="12.0"/>
      </rPr>
      <t xml:space="preserve"> </t>
    </r>
    <r>
      <rPr>
        <rFont val="Arial"/>
        <b val="0"/>
        <i/>
        <color theme="1"/>
        <sz val="11.0"/>
      </rPr>
      <t xml:space="preserve"> Enter values in blue boxes.  Spreadsheet calculates values in yellow boxes</t>
    </r>
  </si>
  <si>
    <t>Typical Values for Horizontal Flow Grit Chamber Design Parameters</t>
  </si>
  <si>
    <t>Inputs</t>
  </si>
  <si>
    <t>Parameter</t>
  </si>
  <si>
    <t>Units</t>
  </si>
  <si>
    <t>Range</t>
  </si>
  <si>
    <t>Typical Value</t>
  </si>
  <si>
    <r>
      <rPr>
        <rFont val="Arial"/>
        <color theme="1"/>
        <sz val="10.0"/>
      </rPr>
      <t xml:space="preserve">Design Ave Flow Rate, </t>
    </r>
    <r>
      <rPr>
        <rFont val="Arial"/>
        <b/>
        <color theme="1"/>
        <sz val="12.0"/>
      </rPr>
      <t>Q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</si>
  <si>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</si>
  <si>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Design Horiz. Velocity, </t>
    </r>
    <r>
      <rPr>
        <rFont val="Arial"/>
        <b/>
        <color theme="1"/>
        <sz val="12.0"/>
      </rPr>
      <t>V</t>
    </r>
    <r>
      <rPr>
        <rFont val="Arial"/>
        <color theme="1"/>
        <sz val="10.0"/>
      </rPr>
      <t xml:space="preserve"> =</t>
    </r>
  </si>
  <si>
    <t>m/s</t>
  </si>
  <si>
    <t>Detention Time</t>
  </si>
  <si>
    <t>seconds</t>
  </si>
  <si>
    <t>45 - 90</t>
  </si>
  <si>
    <r>
      <rPr>
        <rFont val="Arial"/>
        <color theme="1"/>
        <sz val="10.0"/>
      </rPr>
      <t xml:space="preserve">  Peaking Factor, </t>
    </r>
    <r>
      <rPr>
        <rFont val="Arial"/>
        <b/>
        <color theme="1"/>
        <sz val="12.0"/>
      </rPr>
      <t>PF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</si>
  <si>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Design Detention Time ,</t>
    </r>
    <r>
      <rPr>
        <rFont val="Arial"/>
        <b/>
        <color theme="1"/>
        <sz val="12.0"/>
      </rPr>
      <t>t</t>
    </r>
    <r>
      <rPr>
        <rFont val="Arial"/>
        <color theme="1"/>
        <sz val="10.0"/>
      </rPr>
      <t xml:space="preserve"> =</t>
    </r>
  </si>
  <si>
    <t>sec</t>
  </si>
  <si>
    <t>Horizontal Velocity</t>
  </si>
  <si>
    <t>0.25 - 0.4</t>
  </si>
  <si>
    <t xml:space="preserve">   (Peak hourly flow/Average Flow)</t>
  </si>
  <si>
    <t>Per Cent Additional</t>
  </si>
  <si>
    <t>Added Length for</t>
  </si>
  <si>
    <r>
      <rPr>
        <rFont val="Arial"/>
        <color theme="1"/>
        <sz val="10.0"/>
      </rPr>
      <t xml:space="preserve">No. of Tanks in Parallel, </t>
    </r>
    <r>
      <rPr>
        <rFont val="Arial"/>
        <b/>
        <color theme="1"/>
        <sz val="12.0"/>
      </rPr>
      <t>N</t>
    </r>
    <r>
      <rPr>
        <rFont val="Arial"/>
        <color theme="1"/>
        <sz val="10.0"/>
      </rPr>
      <t xml:space="preserve"> =</t>
    </r>
  </si>
  <si>
    <t xml:space="preserve">  length  for Inlet and Outlet =</t>
  </si>
  <si>
    <t>Inlet and Outlet</t>
  </si>
  <si>
    <t>%</t>
  </si>
  <si>
    <t>25 - 50</t>
  </si>
  <si>
    <r>
      <rPr>
        <rFont val="Arial"/>
        <color theme="1"/>
        <sz val="10.0"/>
      </rPr>
      <t xml:space="preserve">     Tank Freeboard, </t>
    </r>
    <r>
      <rPr>
        <rFont val="Arial"/>
        <b/>
        <color theme="1"/>
        <sz val="12.0"/>
      </rPr>
      <t>D</t>
    </r>
    <r>
      <rPr>
        <rFont val="Arial"/>
        <b/>
        <color theme="1"/>
        <sz val="10.0"/>
        <vertAlign val="subscript"/>
      </rPr>
      <t>FB</t>
    </r>
    <r>
      <rPr>
        <rFont val="Arial"/>
        <color theme="1"/>
        <sz val="10.0"/>
      </rPr>
      <t>=</t>
    </r>
  </si>
  <si>
    <t>m</t>
  </si>
  <si>
    <r>
      <rPr>
        <rFont val="Arial"/>
        <color theme="1"/>
        <sz val="10.0"/>
      </rPr>
      <t xml:space="preserve">Depth for Grit Storage, </t>
    </r>
    <r>
      <rPr>
        <rFont val="Arial"/>
        <b/>
        <color theme="1"/>
        <sz val="12.0"/>
      </rPr>
      <t>D</t>
    </r>
    <r>
      <rPr>
        <rFont val="Arial"/>
        <b/>
        <color theme="1"/>
        <sz val="10.0"/>
        <vertAlign val="subscript"/>
      </rPr>
      <t>GR</t>
    </r>
    <r>
      <rPr>
        <rFont val="Arial"/>
        <color theme="1"/>
        <sz val="10.0"/>
      </rPr>
      <t>=</t>
    </r>
  </si>
  <si>
    <t>The values in the table above are from Table 5-16 in</t>
  </si>
  <si>
    <t>Metcalf &amp; Eddy, Wastewater Engineering Treatment and Resource</t>
  </si>
  <si>
    <t>Calculations</t>
  </si>
  <si>
    <t>Recovery, 5th Ed., 2014</t>
  </si>
  <si>
    <r>
      <rPr>
        <rFont val="Arial"/>
        <color theme="1"/>
        <sz val="10.0"/>
      </rPr>
      <t xml:space="preserve">Peak Hourly Flow Rate, </t>
    </r>
    <r>
      <rPr>
        <rFont val="Arial"/>
        <b/>
        <color theme="1"/>
        <sz val="12.0"/>
      </rPr>
      <t>Q</t>
    </r>
    <r>
      <rPr>
        <rFont val="Arial"/>
        <b/>
        <color theme="1"/>
        <sz val="12.0"/>
        <vertAlign val="subscript"/>
      </rPr>
      <t>p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</si>
  <si>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</si>
  <si>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        Length for Flow , </t>
    </r>
    <r>
      <rPr>
        <rFont val="Arial"/>
        <b/>
        <color theme="1"/>
        <sz val="12.0"/>
      </rPr>
      <t>L</t>
    </r>
    <r>
      <rPr>
        <rFont val="Arial"/>
        <b/>
        <color theme="1"/>
        <sz val="12.0"/>
        <vertAlign val="subscript"/>
      </rPr>
      <t>f</t>
    </r>
    <r>
      <rPr>
        <rFont val="Arial"/>
        <color theme="1"/>
        <sz val="10.0"/>
      </rPr>
      <t xml:space="preserve"> =</t>
    </r>
  </si>
  <si>
    <r>
      <rPr>
        <rFont val="Arial"/>
        <b/>
        <color theme="1"/>
        <sz val="11.0"/>
        <u/>
      </rPr>
      <t>NOTE:</t>
    </r>
    <r>
      <rPr>
        <rFont val="Arial"/>
        <b val="0"/>
        <color theme="1"/>
        <sz val="11.0"/>
        <u/>
      </rPr>
      <t xml:space="preserve">  The next worksheet may be used to estimate the peaking</t>
    </r>
  </si>
  <si>
    <t xml:space="preserve"> Cross-Sectional</t>
  </si>
  <si>
    <t>factor based on the design average flow rate.  If you use that</t>
  </si>
  <si>
    <r>
      <rPr>
        <rFont val="Arial"/>
        <color theme="1"/>
        <sz val="10.0"/>
      </rPr>
      <t xml:space="preserve">Grit Chamber Volume, </t>
    </r>
    <r>
      <rPr>
        <rFont val="Arial"/>
        <b/>
        <color theme="1"/>
        <sz val="12.0"/>
      </rPr>
      <t>V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</si>
  <si>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 xml:space="preserve"> </t>
    </r>
  </si>
  <si>
    <r>
      <rPr>
        <rFont val="Arial"/>
        <color theme="1"/>
        <sz val="10.0"/>
      </rPr>
      <t xml:space="preserve">               Area of Flow,  </t>
    </r>
    <r>
      <rPr>
        <rFont val="Arial"/>
        <b/>
        <color theme="1"/>
        <sz val="12.0"/>
      </rPr>
      <t>A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</si>
  <si>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2</t>
    </r>
    <r>
      <rPr>
        <rFont val="Arial"/>
        <color theme="1"/>
        <sz val="10.0"/>
      </rPr>
      <t xml:space="preserve"> </t>
    </r>
  </si>
  <si>
    <t>worksheet, enter the result in cell C9 above left.</t>
  </si>
  <si>
    <t xml:space="preserve">             (for each tank)</t>
  </si>
  <si>
    <r>
      <rPr>
        <rFont val="Arial"/>
        <color theme="1"/>
        <sz val="10.0"/>
      </rPr>
      <t xml:space="preserve">         Tank Width,  </t>
    </r>
    <r>
      <rPr>
        <rFont val="Arial"/>
        <b/>
        <color theme="1"/>
        <sz val="12.0"/>
      </rPr>
      <t>W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</si>
  <si>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        Depth of Fow,  </t>
    </r>
    <r>
      <rPr>
        <rFont val="Arial"/>
        <b/>
        <color theme="1"/>
        <sz val="12.0"/>
      </rPr>
      <t>D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</si>
  <si>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(User input for value of </t>
    </r>
    <r>
      <rPr>
        <rFont val="Arial"/>
        <b/>
        <color theme="1"/>
        <sz val="11.0"/>
      </rPr>
      <t>A</t>
    </r>
    <r>
      <rPr>
        <rFont val="Arial"/>
        <color theme="1"/>
        <sz val="10.0"/>
      </rPr>
      <t xml:space="preserve"> above right)</t>
    </r>
  </si>
  <si>
    <r>
      <rPr>
        <rFont val="Arial"/>
        <color theme="1"/>
        <sz val="10.0"/>
      </rPr>
      <t xml:space="preserve">         Tank Length,  </t>
    </r>
    <r>
      <rPr>
        <rFont val="Arial"/>
        <b/>
        <color theme="1"/>
        <sz val="12.0"/>
      </rPr>
      <t>L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</si>
  <si>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 xml:space="preserve">     Tank Wall Depth,  </t>
    </r>
    <r>
      <rPr>
        <rFont val="Arial"/>
        <b/>
        <color theme="1"/>
        <sz val="12.0"/>
      </rPr>
      <t>D</t>
    </r>
    <r>
      <rPr>
        <rFont val="Arial"/>
        <b/>
        <color theme="1"/>
        <sz val="12.0"/>
        <vertAlign val="subscript"/>
      </rPr>
      <t>W</t>
    </r>
    <r>
      <rPr>
        <rFont val="Arial"/>
        <color theme="1"/>
        <sz val="10.0"/>
      </rPr>
      <t xml:space="preserve"> =</t>
    </r>
  </si>
  <si>
    <t xml:space="preserve">   Find more Excel spreadsheets for engineering at</t>
  </si>
  <si>
    <t>Copyright © 2020 Harlan H. Bengtson. All Rights Reserved.</t>
  </si>
  <si>
    <t>Estimation of Peaking Factor - S.I. units</t>
  </si>
  <si>
    <r>
      <rPr>
        <rFont val="Arial"/>
        <b/>
        <color theme="1"/>
        <sz val="12.0"/>
      </rPr>
      <t>Instructions</t>
    </r>
    <r>
      <rPr>
        <rFont val="Arial"/>
        <b/>
        <i/>
        <color theme="1"/>
        <sz val="12.0"/>
      </rPr>
      <t>:</t>
    </r>
    <r>
      <rPr>
        <rFont val="Arial"/>
        <b val="0"/>
        <i/>
        <color theme="1"/>
        <sz val="12.0"/>
      </rPr>
      <t xml:space="preserve"> </t>
    </r>
    <r>
      <rPr>
        <rFont val="Arial"/>
        <b val="0"/>
        <i/>
        <color theme="1"/>
        <sz val="11.0"/>
      </rPr>
      <t xml:space="preserve"> Enter values in blue boxes.  Spreadsheet calculates values in yellow boxes</t>
    </r>
  </si>
  <si>
    <t>NOTE:  The peaking factor is calculated from the following equation:</t>
  </si>
  <si>
    <t>where P is the population in thousands</t>
  </si>
  <si>
    <r>
      <rPr>
        <rFont val="Arial"/>
        <color theme="1"/>
        <sz val="10.0"/>
      </rPr>
      <t xml:space="preserve">Design Ave Flow Rate, </t>
    </r>
    <r>
      <rPr>
        <rFont val="Arial"/>
        <b/>
        <color theme="1"/>
        <sz val="12.0"/>
      </rPr>
      <t>Q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</si>
  <si>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0.0"/>
      </rPr>
      <t>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/d</t>
    </r>
  </si>
  <si>
    <r>
      <rPr>
        <rFont val="Arial"/>
        <color theme="1"/>
        <sz val="10.0"/>
      </rPr>
      <t xml:space="preserve">  Peaking Factor, </t>
    </r>
    <r>
      <rPr>
        <rFont val="Arial"/>
        <b/>
        <color theme="1"/>
        <sz val="12.0"/>
      </rPr>
      <t>PF</t>
    </r>
    <r>
      <rPr>
        <rFont val="Arial"/>
        <color theme="1"/>
        <sz val="10.0"/>
      </rPr>
      <t xml:space="preserve"> =</t>
    </r>
  </si>
  <si>
    <r>
      <rPr>
        <rFont val="Arial"/>
        <color theme="1"/>
        <sz val="11.0"/>
      </rPr>
      <t>A factor of 3.785 m</t>
    </r>
    <r>
      <rPr>
        <rFont val="Arial"/>
        <color theme="1"/>
        <sz val="11.0"/>
        <vertAlign val="superscript"/>
      </rPr>
      <t>3</t>
    </r>
    <r>
      <rPr>
        <rFont val="Arial"/>
        <color theme="1"/>
        <sz val="11.0"/>
      </rPr>
      <t>/capita for daily ave. flow rate, or 3785 m</t>
    </r>
    <r>
      <rPr>
        <rFont val="Arial"/>
        <color theme="1"/>
        <sz val="11.0"/>
        <vertAlign val="superscript"/>
      </rPr>
      <t>3</t>
    </r>
    <r>
      <rPr>
        <rFont val="Arial"/>
        <color theme="1"/>
        <sz val="11.0"/>
      </rPr>
      <t>/thousand in population was used</t>
    </r>
  </si>
  <si>
    <r>
      <rPr>
        <rFont val="Arial"/>
        <color theme="1"/>
        <sz val="11.0"/>
      </rPr>
      <t xml:space="preserve">to calculate </t>
    </r>
    <r>
      <rPr>
        <rFont val="Arial"/>
        <b/>
        <color theme="1"/>
        <sz val="11.0"/>
      </rPr>
      <t>PF</t>
    </r>
    <r>
      <rPr>
        <rFont val="Arial"/>
        <color theme="1"/>
        <sz val="11.0"/>
      </rPr>
      <t xml:space="preserve"> for a specified value of Design Daily Average Flow Rate.</t>
    </r>
  </si>
  <si>
    <r>
      <rPr>
        <rFont val="Arial"/>
        <b/>
        <color theme="1"/>
        <sz val="11.0"/>
        <u/>
      </rPr>
      <t>SOURCE</t>
    </r>
    <r>
      <rPr>
        <rFont val="Arial"/>
        <b val="0"/>
        <color theme="1"/>
        <sz val="11.0"/>
        <u/>
      </rPr>
      <t xml:space="preserve">:  This equation is from Page 10-6  of the publication, </t>
    </r>
    <r>
      <rPr>
        <rFont val="Arial"/>
        <b/>
        <color theme="1"/>
        <sz val="11.0"/>
        <u/>
      </rPr>
      <t>Recommended Standards</t>
    </r>
  </si>
  <si>
    <r>
      <rPr>
        <rFont val="Arial"/>
        <b/>
        <color theme="1"/>
        <sz val="11.0"/>
      </rPr>
      <t xml:space="preserve"> for Wastewater Treatment Facilities, 2014,  </t>
    </r>
    <r>
      <rPr>
        <rFont val="Arial"/>
        <b val="0"/>
        <color theme="1"/>
        <sz val="11.0"/>
      </rPr>
      <t>commonly referred to as</t>
    </r>
  </si>
  <si>
    <t>the "10 States Standards"</t>
  </si>
  <si>
    <t>This publication is available for download from the following web address:</t>
  </si>
  <si>
    <t xml:space="preserve">https://www.health.state.mn.us/communities/environment/water/tenstates/standards.html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</si>
</sst>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0.000"/>
    <numFmt numFmtId="166" formatCode="_(* #,##0.00_);_(* \(#,##0.00\);_(* &quot;-&quot;??_);_(@_)"/>
    <numFmt numFmtId="167" formatCode="_(* #,##0_);_(* \(#,##0\);_(* &quot;-&quot;??_);_(@_)"/>
  </numFmts>
  <fonts count="23">
    <font>
      <sz val="10.0"/>
      <color rgb="FF000000"/>
      <name val="Arial"/>
      <scheme val="minor"/>
    </font>
    <font>
      <b/>
      <sz val="14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000000"/>
      <name val="Arial"/>
    </font>
    <font>
      <sz val="8.0"/>
      <color theme="1"/>
      <name val="Arial"/>
    </font>
    <font>
      <sz val="12.0"/>
      <color rgb="FF000000"/>
      <name val="Arial"/>
    </font>
    <font>
      <sz val="10.0"/>
      <color theme="1"/>
      <name val="Arial"/>
    </font>
    <font>
      <sz val="18.0"/>
      <color theme="1"/>
      <name val="Arial"/>
    </font>
    <font>
      <sz val="14.0"/>
      <color theme="1"/>
      <name val="Arial"/>
    </font>
    <font>
      <u/>
      <sz val="14.0"/>
      <color rgb="FF0000FF"/>
      <name val="Arial"/>
    </font>
    <font>
      <sz val="8.0"/>
      <color rgb="FF808080"/>
      <name val="Verdana"/>
    </font>
    <font>
      <sz val="16.0"/>
      <color theme="1"/>
      <name val="Arial"/>
    </font>
    <font>
      <b/>
      <u/>
      <sz val="12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b/>
      <u/>
      <sz val="11.0"/>
      <color theme="1"/>
      <name val="Arial"/>
    </font>
    <font>
      <sz val="11.0"/>
      <color theme="1"/>
      <name val="Arial"/>
    </font>
    <font>
      <u/>
      <sz val="14.0"/>
      <color rgb="FF0000FF"/>
      <name val="Arial"/>
    </font>
    <font/>
    <font>
      <u/>
      <color rgb="FF0000FF"/>
    </font>
    <font>
      <b/>
      <sz val="11.0"/>
      <color theme="1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</fills>
  <borders count="2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vertical="center"/>
    </xf>
    <xf borderId="0" fillId="0" fontId="5" numFmtId="0" xfId="0" applyFont="1"/>
    <xf borderId="0" fillId="0" fontId="6" numFmtId="0" xfId="0" applyAlignment="1" applyFont="1">
      <alignment vertical="center"/>
    </xf>
    <xf borderId="0" fillId="0" fontId="4" numFmtId="0" xfId="0" applyFont="1"/>
    <xf borderId="0" fillId="0" fontId="7" numFmtId="0" xfId="0" applyFont="1"/>
    <xf borderId="1" fillId="0" fontId="7" numFmtId="0" xfId="0" applyBorder="1" applyFont="1"/>
    <xf borderId="2" fillId="0" fontId="7" numFmtId="0" xfId="0" applyBorder="1" applyFont="1"/>
    <xf borderId="2" fillId="0" fontId="8" numFmtId="0" xfId="0" applyAlignment="1" applyBorder="1" applyFont="1">
      <alignment horizontal="center"/>
    </xf>
    <xf borderId="2" fillId="0" fontId="8" numFmtId="0" xfId="0" applyAlignment="1" applyBorder="1" applyFont="1">
      <alignment horizontal="left"/>
    </xf>
    <xf borderId="3" fillId="0" fontId="7" numFmtId="0" xfId="0" applyBorder="1" applyFont="1"/>
    <xf borderId="0" fillId="0" fontId="9" numFmtId="0" xfId="0" applyFont="1"/>
    <xf borderId="4" fillId="0" fontId="9" numFmtId="0" xfId="0" applyBorder="1" applyFont="1"/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borderId="5" fillId="0" fontId="7" numFmtId="0" xfId="0" applyBorder="1" applyFont="1"/>
    <xf borderId="4" fillId="0" fontId="7" numFmtId="0" xfId="0" applyBorder="1" applyFont="1"/>
    <xf borderId="0" fillId="0" fontId="10" numFmtId="0" xfId="0" applyAlignment="1" applyFont="1">
      <alignment horizontal="center"/>
    </xf>
    <xf borderId="6" fillId="0" fontId="7" numFmtId="0" xfId="0" applyBorder="1" applyFont="1"/>
    <xf borderId="7" fillId="0" fontId="7" numFmtId="0" xfId="0" applyBorder="1" applyFont="1"/>
    <xf borderId="8" fillId="0" fontId="8" numFmtId="0" xfId="0" applyAlignment="1" applyBorder="1" applyFont="1">
      <alignment horizontal="left"/>
    </xf>
    <xf borderId="0" fillId="0" fontId="11" numFmtId="0" xfId="0" applyFont="1"/>
    <xf borderId="0" fillId="0" fontId="12" numFmtId="0" xfId="0" applyFont="1"/>
    <xf borderId="9" fillId="0" fontId="2" numFmtId="0" xfId="0" applyBorder="1" applyFont="1"/>
    <xf borderId="10" fillId="0" fontId="7" numFmtId="0" xfId="0" applyBorder="1" applyFont="1"/>
    <xf borderId="11" fillId="0" fontId="7" numFmtId="0" xfId="0" applyBorder="1" applyFont="1"/>
    <xf borderId="0" fillId="0" fontId="13" numFmtId="0" xfId="0" applyFont="1"/>
    <xf borderId="12" fillId="0" fontId="14" numFmtId="0" xfId="0" applyBorder="1" applyFont="1"/>
    <xf borderId="13" fillId="0" fontId="14" numFmtId="0" xfId="0" applyAlignment="1" applyBorder="1" applyFont="1">
      <alignment horizontal="center"/>
    </xf>
    <xf borderId="14" fillId="0" fontId="14" numFmtId="0" xfId="0" applyAlignment="1" applyBorder="1" applyFont="1">
      <alignment horizontal="center"/>
    </xf>
    <xf borderId="0" fillId="0" fontId="7" numFmtId="0" xfId="0" applyAlignment="1" applyFont="1">
      <alignment horizontal="left"/>
    </xf>
    <xf borderId="15" fillId="2" fontId="7" numFmtId="37" xfId="0" applyAlignment="1" applyBorder="1" applyFill="1" applyFont="1" applyNumberFormat="1">
      <alignment horizontal="center"/>
    </xf>
    <xf borderId="0" fillId="0" fontId="7" numFmtId="0" xfId="0" applyAlignment="1" applyFont="1">
      <alignment horizontal="center" vertical="center"/>
    </xf>
    <xf borderId="15" fillId="2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6" fillId="0" fontId="7" numFmtId="0" xfId="0" applyBorder="1" applyFont="1"/>
    <xf borderId="17" fillId="0" fontId="7" numFmtId="0" xfId="0" applyAlignment="1" applyBorder="1" applyFont="1">
      <alignment horizontal="center"/>
    </xf>
    <xf borderId="18" fillId="0" fontId="7" numFmtId="0" xfId="0" applyAlignment="1" applyBorder="1" applyFont="1">
      <alignment horizontal="center"/>
    </xf>
    <xf borderId="5" fillId="0" fontId="7" numFmtId="0" xfId="0" applyAlignment="1" applyBorder="1" applyFont="1">
      <alignment horizont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left" vertical="top"/>
    </xf>
    <xf borderId="0" fillId="0" fontId="15" numFmtId="0" xfId="0" applyFont="1"/>
    <xf borderId="19" fillId="0" fontId="7" numFmtId="0" xfId="0" applyBorder="1" applyFont="1"/>
    <xf borderId="15" fillId="2" fontId="7" numFmtId="9" xfId="0" applyAlignment="1" applyBorder="1" applyFont="1" applyNumberFormat="1">
      <alignment horizontal="center"/>
    </xf>
    <xf borderId="20" fillId="0" fontId="7" numFmtId="0" xfId="0" applyBorder="1" applyFont="1"/>
    <xf borderId="21" fillId="0" fontId="7" numFmtId="0" xfId="0" applyAlignment="1" applyBorder="1" applyFont="1">
      <alignment horizontal="center"/>
    </xf>
    <xf borderId="22" fillId="0" fontId="7" numFmtId="0" xfId="0" applyAlignment="1" applyBorder="1" applyFont="1">
      <alignment horizontal="center"/>
    </xf>
    <xf borderId="15" fillId="2" fontId="7" numFmtId="2" xfId="0" applyAlignment="1" applyBorder="1" applyFont="1" applyNumberFormat="1">
      <alignment horizontal="center"/>
    </xf>
    <xf borderId="0" fillId="0" fontId="14" numFmtId="0" xfId="0" applyFont="1"/>
    <xf borderId="15" fillId="3" fontId="7" numFmtId="1" xfId="0" applyAlignment="1" applyBorder="1" applyFill="1" applyFont="1" applyNumberFormat="1">
      <alignment horizontal="center"/>
    </xf>
    <xf borderId="15" fillId="3" fontId="7" numFmtId="164" xfId="0" applyAlignment="1" applyBorder="1" applyFont="1" applyNumberFormat="1">
      <alignment horizontal="center"/>
    </xf>
    <xf borderId="0" fillId="0" fontId="16" numFmtId="0" xfId="0" applyFont="1"/>
    <xf borderId="0" fillId="0" fontId="17" numFmtId="0" xfId="0" applyFont="1"/>
    <xf borderId="0" fillId="0" fontId="17" numFmtId="0" xfId="0" applyAlignment="1" applyFont="1">
      <alignment vertical="center"/>
    </xf>
    <xf borderId="0" fillId="0" fontId="7" numFmtId="0" xfId="0" applyAlignment="1" applyFont="1">
      <alignment vertical="center"/>
    </xf>
    <xf borderId="15" fillId="3" fontId="7" numFmtId="165" xfId="0" applyAlignment="1" applyBorder="1" applyFont="1" applyNumberFormat="1">
      <alignment horizontal="center"/>
    </xf>
    <xf borderId="0" fillId="0" fontId="7" numFmtId="0" xfId="0" applyAlignment="1" applyFont="1">
      <alignment vertical="top"/>
    </xf>
    <xf borderId="15" fillId="3" fontId="7" numFmtId="2" xfId="0" applyAlignment="1" applyBorder="1" applyFont="1" applyNumberFormat="1">
      <alignment horizontal="center"/>
    </xf>
    <xf borderId="3" fillId="0" fontId="8" numFmtId="0" xfId="0" applyAlignment="1" applyBorder="1" applyFont="1">
      <alignment horizontal="left"/>
    </xf>
    <xf borderId="5" fillId="0" fontId="8" numFmtId="0" xfId="0" applyAlignment="1" applyBorder="1" applyFont="1">
      <alignment horizontal="left"/>
    </xf>
    <xf borderId="0" fillId="0" fontId="18" numFmtId="0" xfId="0" applyAlignment="1" applyFont="1">
      <alignment horizontal="left"/>
    </xf>
    <xf borderId="5" fillId="0" fontId="19" numFmtId="0" xfId="0" applyBorder="1" applyFont="1"/>
    <xf borderId="8" fillId="0" fontId="7" numFmtId="0" xfId="0" applyBorder="1" applyFont="1"/>
    <xf borderId="0" fillId="0" fontId="20" numFmtId="0" xfId="0" applyFont="1"/>
    <xf borderId="0" fillId="0" fontId="21" numFmtId="0" xfId="0" applyFont="1"/>
    <xf borderId="0" fillId="0" fontId="22" numFmtId="0" xfId="0" applyFont="1"/>
    <xf borderId="0" fillId="0" fontId="7" numFmtId="166" xfId="0" applyFont="1" applyNumberFormat="1"/>
    <xf borderId="0" fillId="0" fontId="7" numFmtId="167" xfId="0" applyFont="1" applyNumberFormat="1"/>
    <xf borderId="0" fillId="0" fontId="7" numFmtId="167" xfId="0" applyAlignment="1" applyFont="1" applyNumberFormat="1">
      <alignment horizontal="center"/>
    </xf>
    <xf borderId="0" fillId="0" fontId="7" numFmtId="2" xfId="0" applyAlignment="1" applyFont="1" applyNumberFormat="1">
      <alignment horizontal="center"/>
    </xf>
    <xf borderId="0" fillId="0" fontId="7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219075</xdr:colOff>
      <xdr:row>3</xdr:row>
      <xdr:rowOff>142875</xdr:rowOff>
    </xdr:from>
    <xdr:ext cx="1438275" cy="485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hyperlink" Target="http://www.engineeringexceltemplates.com/downloads_main.aspx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engineeringexceltemplates.com/downloads_main.aspx" TargetMode="External"/><Relationship Id="rId2" Type="http://schemas.openxmlformats.org/officeDocument/2006/relationships/hyperlink" Target="https://www.health.state.mn.us/communities/environment/water/tenstates/standards.html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C1" s="1" t="s">
        <v>0</v>
      </c>
    </row>
    <row r="2" ht="12.75" customHeight="1">
      <c r="A2" s="2"/>
    </row>
    <row r="3" ht="12.75" customHeight="1">
      <c r="A3" s="3" t="s">
        <v>1</v>
      </c>
    </row>
    <row r="4" ht="12.75" customHeight="1">
      <c r="A4" s="3"/>
    </row>
    <row r="5" ht="12.75" customHeight="1">
      <c r="A5" s="3"/>
      <c r="B5" s="3" t="s">
        <v>2</v>
      </c>
    </row>
    <row r="6" ht="12.75" customHeight="1">
      <c r="A6" s="3"/>
    </row>
    <row r="7" ht="12.75" customHeight="1">
      <c r="A7" s="3"/>
      <c r="B7" s="3" t="s">
        <v>3</v>
      </c>
    </row>
    <row r="8" ht="12.75" customHeight="1">
      <c r="A8" s="3"/>
      <c r="B8" s="3"/>
    </row>
    <row r="9" ht="12.75" customHeight="1">
      <c r="A9" s="3"/>
      <c r="B9" s="3" t="s">
        <v>4</v>
      </c>
    </row>
    <row r="10" ht="12.75" customHeight="1"/>
    <row r="11" ht="12.75" customHeight="1"/>
    <row r="12" ht="12.75" customHeight="1">
      <c r="A12" s="4" t="s">
        <v>5</v>
      </c>
      <c r="B12" s="5"/>
    </row>
    <row r="13" ht="12.75" customHeight="1">
      <c r="A13" s="6" t="s">
        <v>6</v>
      </c>
      <c r="B13" s="5"/>
    </row>
    <row r="14" ht="12.75" customHeight="1">
      <c r="A14" s="6" t="s">
        <v>7</v>
      </c>
      <c r="B14" s="5"/>
    </row>
    <row r="15" ht="12.75" customHeight="1">
      <c r="A15" s="6" t="s">
        <v>8</v>
      </c>
      <c r="B15" s="5"/>
    </row>
    <row r="16" ht="12.75" customHeight="1">
      <c r="A16" s="6" t="s">
        <v>9</v>
      </c>
      <c r="B16" s="5"/>
    </row>
    <row r="17" ht="12.75" customHeight="1">
      <c r="A17" s="6" t="s">
        <v>10</v>
      </c>
      <c r="B17" s="5"/>
    </row>
    <row r="18" ht="12.75" customHeight="1">
      <c r="A18" s="6" t="s">
        <v>11</v>
      </c>
      <c r="B18" s="5"/>
    </row>
    <row r="19" ht="12.75" customHeight="1">
      <c r="A19" s="6" t="s">
        <v>12</v>
      </c>
      <c r="B19" s="5"/>
    </row>
    <row r="20" ht="12.75" customHeight="1">
      <c r="A20" s="6" t="s">
        <v>13</v>
      </c>
      <c r="B20" s="5"/>
    </row>
    <row r="21" ht="12.75" customHeight="1">
      <c r="A21" s="7"/>
      <c r="B21" s="5"/>
    </row>
    <row r="22" ht="12.75" customHeight="1"/>
    <row r="23" ht="12.75" customHeight="1">
      <c r="A23" s="2" t="s">
        <v>14</v>
      </c>
    </row>
    <row r="24" ht="12.75" customHeight="1">
      <c r="A24" s="7" t="s">
        <v>15</v>
      </c>
    </row>
    <row r="25" ht="12.75" customHeight="1">
      <c r="A25" s="8"/>
    </row>
    <row r="26" ht="12.75" customHeight="1">
      <c r="A26" s="8"/>
    </row>
    <row r="27" ht="12.75" customHeight="1">
      <c r="A27" s="5"/>
    </row>
    <row r="28" ht="12.75" customHeight="1">
      <c r="A28" s="3"/>
    </row>
    <row r="29" ht="12.75" customHeight="1">
      <c r="B29" s="9"/>
      <c r="C29" s="10"/>
      <c r="D29" s="10"/>
      <c r="E29" s="11"/>
      <c r="F29" s="11"/>
      <c r="G29" s="12"/>
      <c r="H29" s="10"/>
      <c r="I29" s="13"/>
    </row>
    <row r="30" ht="12.75" customHeight="1">
      <c r="A30" s="14"/>
      <c r="B30" s="15" t="s">
        <v>16</v>
      </c>
      <c r="C30" s="16"/>
      <c r="D30" s="16"/>
      <c r="E30" s="17"/>
      <c r="F30" s="17"/>
      <c r="G30" s="16"/>
      <c r="H30" s="8"/>
      <c r="I30" s="18"/>
    </row>
    <row r="31" ht="12.75" customHeight="1">
      <c r="B31" s="19"/>
      <c r="C31" s="8"/>
      <c r="D31" s="20" t="s">
        <v>17</v>
      </c>
      <c r="I31" s="18"/>
    </row>
    <row r="32" ht="12.75" customHeight="1">
      <c r="A32" s="14"/>
      <c r="B32" s="21"/>
      <c r="C32" s="22"/>
      <c r="D32" s="22"/>
      <c r="E32" s="22"/>
      <c r="F32" s="22"/>
      <c r="G32" s="22"/>
      <c r="H32" s="22"/>
      <c r="I32" s="23"/>
    </row>
    <row r="33" ht="12.75" customHeight="1"/>
    <row r="34" ht="12.75" customHeight="1"/>
    <row r="35" ht="12.75" customHeight="1"/>
    <row r="36" ht="12.75" customHeight="1">
      <c r="B36" s="24" t="s">
        <v>18</v>
      </c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D31:H31"/>
  </mergeCells>
  <hyperlinks>
    <hyperlink r:id="rId1" ref="D31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5.63"/>
    <col customWidth="1" min="3" max="3" width="10.25"/>
    <col customWidth="1" min="4" max="4" width="8.63"/>
    <col customWidth="1" min="5" max="5" width="4.63"/>
    <col customWidth="1" min="6" max="6" width="13.38"/>
    <col customWidth="1" min="7" max="7" width="12.38"/>
    <col customWidth="1" min="8" max="8" width="11.88"/>
    <col customWidth="1" min="9" max="9" width="8.63"/>
    <col customWidth="1" min="10" max="10" width="5.75"/>
    <col customWidth="1" min="11" max="11" width="18.25"/>
    <col customWidth="1" min="12" max="12" width="12.0"/>
    <col customWidth="1" min="13" max="13" width="14.0"/>
    <col customWidth="1" min="14" max="14" width="13.38"/>
    <col customWidth="1" min="15" max="26" width="8.63"/>
  </cols>
  <sheetData>
    <row r="1" ht="12.75" customHeight="1">
      <c r="A1" s="25" t="s">
        <v>19</v>
      </c>
    </row>
    <row r="2" ht="12.75" customHeight="1">
      <c r="A2" s="3"/>
    </row>
    <row r="3" ht="12.75" customHeight="1">
      <c r="A3" s="26" t="s">
        <v>20</v>
      </c>
      <c r="B3" s="27"/>
      <c r="C3" s="27"/>
      <c r="D3" s="27"/>
      <c r="E3" s="27"/>
      <c r="F3" s="27"/>
      <c r="G3" s="27"/>
      <c r="H3" s="27"/>
      <c r="I3" s="28"/>
      <c r="K3" s="2" t="s">
        <v>21</v>
      </c>
    </row>
    <row r="4" ht="12.75" customHeight="1"/>
    <row r="5" ht="12.75" customHeight="1">
      <c r="A5" s="29" t="s">
        <v>22</v>
      </c>
      <c r="B5" s="3"/>
      <c r="C5" s="3"/>
      <c r="D5" s="3"/>
      <c r="E5" s="3"/>
      <c r="K5" s="30" t="s">
        <v>23</v>
      </c>
      <c r="L5" s="31" t="s">
        <v>24</v>
      </c>
      <c r="M5" s="31" t="s">
        <v>25</v>
      </c>
      <c r="N5" s="32" t="s">
        <v>26</v>
      </c>
    </row>
    <row r="6" ht="9.75" customHeight="1">
      <c r="K6" s="19"/>
      <c r="L6" s="8"/>
      <c r="M6" s="8"/>
      <c r="N6" s="18"/>
    </row>
    <row r="7" ht="12.75" customHeight="1">
      <c r="A7" s="33" t="s">
        <v>27</v>
      </c>
      <c r="B7" s="8"/>
      <c r="C7" s="34">
        <v>10500.0</v>
      </c>
      <c r="D7" s="35" t="s">
        <v>28</v>
      </c>
      <c r="F7" s="33" t="s">
        <v>29</v>
      </c>
      <c r="G7" s="8"/>
      <c r="H7" s="36">
        <v>0.3</v>
      </c>
      <c r="I7" s="37" t="s">
        <v>30</v>
      </c>
      <c r="K7" s="38" t="s">
        <v>31</v>
      </c>
      <c r="L7" s="39" t="s">
        <v>32</v>
      </c>
      <c r="M7" s="39" t="s">
        <v>33</v>
      </c>
      <c r="N7" s="40">
        <v>60.0</v>
      </c>
    </row>
    <row r="8" ht="12.75" customHeight="1">
      <c r="A8" s="33"/>
      <c r="B8" s="33"/>
      <c r="C8" s="8"/>
      <c r="E8" s="33"/>
      <c r="F8" s="33"/>
      <c r="G8" s="8"/>
      <c r="I8" s="37"/>
      <c r="K8" s="19"/>
      <c r="L8" s="37"/>
      <c r="M8" s="37"/>
      <c r="N8" s="41"/>
    </row>
    <row r="9" ht="16.5" customHeight="1">
      <c r="A9" s="42" t="s">
        <v>34</v>
      </c>
      <c r="B9" s="8"/>
      <c r="C9" s="36">
        <v>2.51</v>
      </c>
      <c r="D9" s="37"/>
      <c r="E9" s="33"/>
      <c r="F9" s="33" t="s">
        <v>35</v>
      </c>
      <c r="G9" s="8"/>
      <c r="H9" s="36">
        <v>60.0</v>
      </c>
      <c r="I9" s="37" t="s">
        <v>36</v>
      </c>
      <c r="K9" s="38" t="s">
        <v>37</v>
      </c>
      <c r="L9" s="39" t="s">
        <v>30</v>
      </c>
      <c r="M9" s="39" t="s">
        <v>38</v>
      </c>
      <c r="N9" s="40">
        <v>0.3</v>
      </c>
    </row>
    <row r="10" ht="19.5" customHeight="1">
      <c r="A10" s="43" t="s">
        <v>39</v>
      </c>
      <c r="F10" s="44" t="s">
        <v>40</v>
      </c>
      <c r="K10" s="45" t="s">
        <v>41</v>
      </c>
      <c r="L10" s="8"/>
      <c r="M10" s="8"/>
      <c r="N10" s="18"/>
    </row>
    <row r="11" ht="18.0" customHeight="1">
      <c r="A11" s="42" t="s">
        <v>42</v>
      </c>
      <c r="B11" s="8"/>
      <c r="C11" s="36">
        <v>2.0</v>
      </c>
      <c r="E11" s="37"/>
      <c r="F11" s="42" t="s">
        <v>43</v>
      </c>
      <c r="H11" s="46">
        <v>0.25</v>
      </c>
      <c r="K11" s="47" t="s">
        <v>44</v>
      </c>
      <c r="L11" s="48" t="s">
        <v>45</v>
      </c>
      <c r="M11" s="48" t="s">
        <v>46</v>
      </c>
      <c r="N11" s="49">
        <v>30.0</v>
      </c>
    </row>
    <row r="12" ht="15.75" customHeight="1">
      <c r="A12" s="33"/>
    </row>
    <row r="13" ht="18.75" customHeight="1">
      <c r="A13" s="42" t="s">
        <v>47</v>
      </c>
      <c r="B13" s="8"/>
      <c r="C13" s="50">
        <v>0.3</v>
      </c>
      <c r="D13" s="37" t="s">
        <v>48</v>
      </c>
      <c r="E13" s="37"/>
      <c r="F13" s="42" t="s">
        <v>49</v>
      </c>
      <c r="H13" s="50">
        <v>0.25</v>
      </c>
      <c r="I13" s="37" t="s">
        <v>48</v>
      </c>
      <c r="K13" s="8" t="s">
        <v>50</v>
      </c>
    </row>
    <row r="14" ht="18.0" customHeight="1">
      <c r="K14" s="51" t="s">
        <v>51</v>
      </c>
    </row>
    <row r="15" ht="18.75" customHeight="1">
      <c r="A15" s="29" t="s">
        <v>52</v>
      </c>
      <c r="B15" s="3"/>
      <c r="E15" s="37"/>
      <c r="K15" s="51" t="s">
        <v>53</v>
      </c>
    </row>
    <row r="16" ht="14.25" customHeight="1"/>
    <row r="17" ht="18.0" customHeight="1">
      <c r="A17" s="33" t="s">
        <v>54</v>
      </c>
      <c r="B17" s="8"/>
      <c r="C17" s="52">
        <f>C7*C9</f>
        <v>26355</v>
      </c>
      <c r="D17" s="35" t="s">
        <v>55</v>
      </c>
      <c r="F17" s="33" t="s">
        <v>56</v>
      </c>
      <c r="H17" s="53">
        <f>H7*H9</f>
        <v>18</v>
      </c>
      <c r="I17" s="37" t="s">
        <v>48</v>
      </c>
      <c r="K17" s="54" t="s">
        <v>57</v>
      </c>
      <c r="L17" s="55"/>
    </row>
    <row r="18" ht="18.75" customHeight="1">
      <c r="E18" s="33"/>
      <c r="F18" s="8" t="s">
        <v>58</v>
      </c>
      <c r="K18" s="56" t="s">
        <v>59</v>
      </c>
    </row>
    <row r="19" ht="18.0" customHeight="1">
      <c r="A19" s="33" t="s">
        <v>60</v>
      </c>
      <c r="B19" s="8"/>
      <c r="C19" s="53">
        <f>(C9*C7/(24*3600))*H9</f>
        <v>18.30208333</v>
      </c>
      <c r="D19" s="35" t="s">
        <v>61</v>
      </c>
      <c r="F19" s="57" t="s">
        <v>62</v>
      </c>
      <c r="H19" s="58">
        <f>C19/H17</f>
        <v>1.016782407</v>
      </c>
      <c r="I19" s="35" t="s">
        <v>63</v>
      </c>
      <c r="K19" s="55" t="s">
        <v>64</v>
      </c>
    </row>
    <row r="20" ht="18.0" customHeight="1">
      <c r="A20" s="43" t="s">
        <v>65</v>
      </c>
    </row>
    <row r="21" ht="17.25" customHeight="1">
      <c r="A21" s="57" t="s">
        <v>66</v>
      </c>
      <c r="C21" s="36">
        <v>1.0</v>
      </c>
      <c r="D21" s="37" t="s">
        <v>48</v>
      </c>
      <c r="F21" s="57" t="s">
        <v>67</v>
      </c>
      <c r="H21" s="53">
        <f>H19/C21</f>
        <v>1.016782407</v>
      </c>
      <c r="I21" s="37" t="s">
        <v>48</v>
      </c>
    </row>
    <row r="22" ht="26.25" customHeight="1">
      <c r="A22" s="59" t="s">
        <v>68</v>
      </c>
      <c r="E22" s="33"/>
      <c r="L22" s="54"/>
      <c r="M22" s="55"/>
    </row>
    <row r="23" ht="15.75" customHeight="1">
      <c r="A23" s="57" t="s">
        <v>69</v>
      </c>
      <c r="C23" s="53">
        <f>H17*(1+H11)</f>
        <v>22.5</v>
      </c>
      <c r="D23" s="37" t="s">
        <v>48</v>
      </c>
      <c r="F23" s="57" t="s">
        <v>70</v>
      </c>
      <c r="H23" s="60">
        <f>H21+C13+H13</f>
        <v>1.566782407</v>
      </c>
      <c r="I23" s="37" t="s">
        <v>48</v>
      </c>
      <c r="M23" s="55"/>
    </row>
    <row r="24" ht="15.75" customHeight="1">
      <c r="K24" s="54"/>
    </row>
    <row r="25" ht="15.75" customHeight="1">
      <c r="M25" s="55"/>
    </row>
    <row r="26" ht="15.75" customHeight="1">
      <c r="K26" s="55"/>
      <c r="M26" s="55"/>
    </row>
    <row r="27" ht="15.75" customHeight="1">
      <c r="B27" s="9"/>
      <c r="C27" s="10"/>
      <c r="D27" s="10"/>
      <c r="E27" s="11"/>
      <c r="F27" s="11"/>
      <c r="G27" s="61"/>
      <c r="H27" s="8"/>
      <c r="K27" s="55"/>
    </row>
    <row r="28" ht="12.75" customHeight="1">
      <c r="B28" s="15" t="s">
        <v>71</v>
      </c>
      <c r="C28" s="16"/>
      <c r="D28" s="16"/>
      <c r="E28" s="17"/>
      <c r="F28" s="17"/>
      <c r="G28" s="62"/>
      <c r="H28" s="8"/>
      <c r="M28" s="55"/>
    </row>
    <row r="29" ht="12.75" customHeight="1">
      <c r="B29" s="19"/>
      <c r="C29" s="63" t="s">
        <v>17</v>
      </c>
      <c r="G29" s="64"/>
      <c r="H29" s="8"/>
      <c r="M29" s="55"/>
    </row>
    <row r="30" ht="12.75" customHeight="1">
      <c r="B30" s="21"/>
      <c r="C30" s="22"/>
      <c r="D30" s="22"/>
      <c r="E30" s="22"/>
      <c r="F30" s="22"/>
      <c r="G30" s="65"/>
      <c r="H30" s="8"/>
      <c r="M30" s="55"/>
    </row>
    <row r="31" ht="12.75" customHeight="1"/>
    <row r="32" ht="12.75" customHeight="1">
      <c r="B32" s="24" t="s">
        <v>72</v>
      </c>
    </row>
    <row r="33" ht="12.75" customHeight="1"/>
    <row r="34" ht="18.75" customHeight="1">
      <c r="I34" s="8"/>
    </row>
    <row r="35" ht="12.75" customHeight="1">
      <c r="I35" s="8"/>
    </row>
    <row r="36" ht="12.75" customHeight="1">
      <c r="I36" s="8"/>
    </row>
    <row r="37" ht="16.5" customHeight="1">
      <c r="I37" s="16"/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>
      <c r="C53" s="66"/>
    </row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C29:G29"/>
  </mergeCells>
  <hyperlinks>
    <hyperlink r:id="rId1" ref="C29"/>
    <hyperlink r:id="rId2" ref="C53"/>
  </hyperlinks>
  <printOptions/>
  <pageMargins bottom="0.61" footer="0.0" header="0.0" left="0.5" right="0.43" top="0.58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3.13"/>
    <col customWidth="1" min="3" max="4" width="8.63"/>
    <col customWidth="1" min="5" max="5" width="5.13"/>
    <col customWidth="1" min="6" max="6" width="10.38"/>
    <col customWidth="1" min="7" max="7" width="15.63"/>
    <col customWidth="1" min="8" max="8" width="10.75"/>
    <col customWidth="1" min="9" max="9" width="6.25"/>
    <col customWidth="1" min="10" max="10" width="5.0"/>
    <col customWidth="1" min="11" max="11" width="13.13"/>
    <col customWidth="1" min="12" max="12" width="13.38"/>
    <col customWidth="1" min="13" max="17" width="8.63"/>
    <col customWidth="1" min="18" max="18" width="10.0"/>
    <col customWidth="1" min="19" max="26" width="8.63"/>
  </cols>
  <sheetData>
    <row r="1" ht="12.75" customHeight="1">
      <c r="A1" s="25" t="s">
        <v>73</v>
      </c>
    </row>
    <row r="2" ht="12.75" customHeight="1">
      <c r="A2" s="3"/>
    </row>
    <row r="3" ht="12.75" customHeight="1">
      <c r="A3" s="26" t="s">
        <v>74</v>
      </c>
      <c r="B3" s="27"/>
      <c r="C3" s="27"/>
      <c r="D3" s="27"/>
      <c r="E3" s="27"/>
      <c r="F3" s="27"/>
      <c r="G3" s="27"/>
      <c r="H3" s="27"/>
      <c r="I3" s="28"/>
      <c r="K3" s="55" t="s">
        <v>75</v>
      </c>
    </row>
    <row r="4" ht="12.75" customHeight="1"/>
    <row r="5" ht="12.75" customHeight="1">
      <c r="A5" s="29" t="s">
        <v>22</v>
      </c>
      <c r="B5" s="3"/>
      <c r="C5" s="3"/>
      <c r="D5" s="3"/>
      <c r="E5" s="3"/>
      <c r="F5" s="29" t="s">
        <v>52</v>
      </c>
      <c r="G5" s="3"/>
      <c r="K5" s="2"/>
    </row>
    <row r="6" ht="12.75" customHeight="1">
      <c r="N6" s="55" t="s">
        <v>76</v>
      </c>
    </row>
    <row r="7" ht="19.5" customHeight="1">
      <c r="A7" s="33" t="s">
        <v>77</v>
      </c>
      <c r="B7" s="8"/>
      <c r="C7" s="36">
        <v>10500.0</v>
      </c>
      <c r="D7" s="35" t="s">
        <v>78</v>
      </c>
      <c r="F7" s="42" t="s">
        <v>79</v>
      </c>
      <c r="G7" s="8"/>
      <c r="H7" s="60">
        <f>(18+((C7/0.378541)/1000)^0.5)/(4+((C7/0.378541)/1000)^0.5)</f>
        <v>2.510786711</v>
      </c>
      <c r="I7" s="37"/>
    </row>
    <row r="8" ht="18.75" customHeight="1">
      <c r="A8" s="33"/>
      <c r="B8" s="33"/>
      <c r="C8" s="8"/>
      <c r="E8" s="33"/>
      <c r="F8" s="42" t="s">
        <v>39</v>
      </c>
    </row>
    <row r="9" ht="12.75" customHeight="1">
      <c r="K9" s="55" t="s">
        <v>80</v>
      </c>
    </row>
    <row r="10" ht="12.75" customHeight="1">
      <c r="L10" s="55" t="s">
        <v>81</v>
      </c>
    </row>
    <row r="11" ht="14.25" customHeight="1">
      <c r="B11" s="9"/>
      <c r="C11" s="10"/>
      <c r="D11" s="10"/>
      <c r="E11" s="11"/>
      <c r="F11" s="11"/>
      <c r="G11" s="12"/>
      <c r="H11" s="13"/>
    </row>
    <row r="12" ht="12.75" customHeight="1">
      <c r="B12" s="15" t="s">
        <v>16</v>
      </c>
      <c r="C12" s="16"/>
      <c r="D12" s="16"/>
      <c r="E12" s="17"/>
      <c r="F12" s="17"/>
      <c r="G12" s="16"/>
      <c r="H12" s="18"/>
      <c r="K12" s="54" t="s">
        <v>82</v>
      </c>
    </row>
    <row r="13" ht="12.75" customHeight="1">
      <c r="B13" s="19"/>
      <c r="C13" s="20" t="s">
        <v>17</v>
      </c>
      <c r="H13" s="18"/>
      <c r="L13" s="67" t="s">
        <v>83</v>
      </c>
    </row>
    <row r="14" ht="12.75" customHeight="1">
      <c r="B14" s="21"/>
      <c r="C14" s="22"/>
      <c r="D14" s="22"/>
      <c r="E14" s="22"/>
      <c r="F14" s="22"/>
      <c r="G14" s="22"/>
      <c r="H14" s="65"/>
      <c r="L14" s="8" t="s">
        <v>84</v>
      </c>
      <c r="S14" s="8"/>
    </row>
    <row r="15" ht="12.75" customHeight="1">
      <c r="S15" s="8"/>
    </row>
    <row r="16" ht="12.75" customHeight="1">
      <c r="B16" s="24" t="s">
        <v>72</v>
      </c>
      <c r="L16" s="8" t="s">
        <v>85</v>
      </c>
      <c r="S16" s="8"/>
    </row>
    <row r="17" ht="12.75" customHeight="1">
      <c r="L17" s="68" t="s">
        <v>86</v>
      </c>
      <c r="S17" s="16"/>
    </row>
    <row r="18" ht="16.5" customHeight="1"/>
    <row r="19" ht="12.75" customHeight="1">
      <c r="N19" s="37"/>
      <c r="O19" s="37"/>
    </row>
    <row r="20" ht="12.75" customHeight="1">
      <c r="L20" s="37"/>
      <c r="M20" s="35"/>
      <c r="N20" s="37"/>
      <c r="O20" s="37"/>
    </row>
    <row r="21" ht="12.75" customHeight="1">
      <c r="L21" s="37"/>
      <c r="M21" s="37"/>
    </row>
    <row r="22" ht="12.75" customHeight="1">
      <c r="K22" s="69"/>
      <c r="L22" s="70"/>
      <c r="M22" s="71"/>
      <c r="N22" s="37"/>
      <c r="O22" s="72"/>
    </row>
    <row r="23" ht="12.75" customHeight="1">
      <c r="L23" s="70"/>
      <c r="M23" s="71"/>
      <c r="N23" s="37"/>
      <c r="O23" s="72"/>
    </row>
    <row r="24" ht="12.75" customHeight="1">
      <c r="L24" s="70"/>
      <c r="M24" s="71"/>
      <c r="N24" s="37"/>
      <c r="O24" s="72"/>
    </row>
    <row r="25" ht="12.75" customHeight="1"/>
    <row r="26" ht="14.25" customHeight="1"/>
    <row r="27" ht="12.75" customHeight="1"/>
    <row r="28" ht="12.75" customHeight="1"/>
    <row r="29" ht="12.75" customHeight="1"/>
    <row r="30" ht="12.75" customHeight="1"/>
    <row r="31" ht="12.75" customHeight="1">
      <c r="P31" s="73"/>
    </row>
    <row r="32" ht="12.75" customHeight="1">
      <c r="P32" s="73"/>
    </row>
    <row r="33" ht="12.75" customHeight="1">
      <c r="P33" s="73"/>
    </row>
    <row r="34" ht="12.75" customHeight="1">
      <c r="P34" s="73"/>
    </row>
    <row r="35" ht="12.75" customHeight="1">
      <c r="P35" s="73"/>
    </row>
    <row r="36" ht="12.75" customHeight="1">
      <c r="P36" s="73"/>
    </row>
    <row r="37" ht="12.75" customHeight="1">
      <c r="P37" s="73"/>
    </row>
    <row r="38" ht="12.75" customHeight="1">
      <c r="P38" s="73"/>
    </row>
    <row r="39" ht="12.75" customHeight="1">
      <c r="P39" s="73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C13:G13"/>
  </mergeCells>
  <hyperlinks>
    <hyperlink r:id="rId1" ref="C13"/>
    <hyperlink r:id="rId2" ref="L17"/>
  </hyperlinks>
  <printOptions/>
  <pageMargins bottom="1.0" footer="0.0" header="0.0" left="0.75" right="0.75" top="1.0"/>
  <pageSetup orientation="portrait"/>
  <drawing r:id="rId3"/>
</worksheet>
</file>