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5"/>
    <sheet state="visible" name="Aerated Grit Chamber Design" sheetId="2" r:id="rId6"/>
    <sheet state="visible" name="Est. of Peaking Factor" sheetId="3" r:id="rId7"/>
  </sheets>
  <definedNames>
    <definedName name="DesignAveFlo">'Aerated Grit Chamber Design'!$C$7</definedName>
  </definedNames>
  <calcPr/>
</workbook>
</file>

<file path=xl/sharedStrings.xml><?xml version="1.0" encoding="utf-8"?>
<sst xmlns="http://schemas.openxmlformats.org/spreadsheetml/2006/main" count="115" uniqueCount="97">
  <si>
    <t>Workbook Contents</t>
  </si>
  <si>
    <t>Click on tabs at the bottom of the screen to access the following:</t>
  </si>
  <si>
    <r>
      <rPr>
        <rFont val="Arial"/>
        <b/>
        <color theme="1"/>
        <sz val="12.0"/>
      </rPr>
      <t>Tab 1.</t>
    </r>
    <r>
      <rPr>
        <rFont val="Arial"/>
        <color theme="1"/>
        <sz val="12.0"/>
      </rPr>
      <t xml:space="preserve"> Contents (current tab)</t>
    </r>
  </si>
  <si>
    <r>
      <rPr>
        <rFont val="Arial"/>
        <b/>
        <color theme="1"/>
        <sz val="12.0"/>
      </rPr>
      <t>Tab 2.</t>
    </r>
    <r>
      <rPr>
        <rFont val="Arial"/>
        <color theme="1"/>
        <sz val="12.0"/>
      </rPr>
      <t xml:space="preserve"> Aerated Grit Chamber Design</t>
    </r>
  </si>
  <si>
    <r>
      <rPr>
        <rFont val="Arial"/>
        <b/>
        <color theme="1"/>
        <sz val="12.0"/>
      </rPr>
      <t>Tab 3.</t>
    </r>
    <r>
      <rPr>
        <rFont val="Arial"/>
        <color theme="1"/>
        <sz val="12.0"/>
      </rPr>
      <t xml:space="preserve"> Estimation of Peaking Factor</t>
    </r>
  </si>
  <si>
    <t>Why you shouldn’t give copies of this workbook away</t>
  </si>
  <si>
    <t xml:space="preserve">We at EngineeringExcelTemplates.com hope that you find this workbook useful.  If you </t>
  </si>
  <si>
    <t xml:space="preserve">would like us to develop additional useful spreadsheets for you in the future, then encourage </t>
  </si>
  <si>
    <t xml:space="preserve">your friends and colleagues to buy their own copies, rather than allowing them to copy </t>
  </si>
  <si>
    <t xml:space="preserve">the spreadsheet you purchased.  We have deliberately set our prices so low that no one </t>
  </si>
  <si>
    <t xml:space="preserve">can really claim that they can’t afford to pay.  But low prices will work for us—that is, we </t>
  </si>
  <si>
    <t xml:space="preserve">can stay in business—only if we can sell enough copies.  Bottom line: the more you get </t>
  </si>
  <si>
    <t xml:space="preserve">other people to pay for their own copies, the more low-cost useful spreadsheets will be </t>
  </si>
  <si>
    <t>available for you in the future.</t>
  </si>
  <si>
    <t>This workbook is provided "as is", without warranty of any kind, express or</t>
  </si>
  <si>
    <t>implied.</t>
  </si>
  <si>
    <t xml:space="preserve">       Find more Excel spreadsheets for engineering at</t>
  </si>
  <si>
    <t>EngineeringExcelTemplates.com</t>
  </si>
  <si>
    <t>Copyright © 2014 Engineering Excel Templates. All Rights Reserved.</t>
  </si>
  <si>
    <t>Aerated Grit Chamber Design Calculations - S.I. units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</si>
  <si>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</si>
  <si>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Aerated Grit Chambers - Typical Parameter Values</t>
  </si>
  <si>
    <t>Inputs</t>
  </si>
  <si>
    <t>Calculations</t>
  </si>
  <si>
    <t>Parameter</t>
  </si>
  <si>
    <t>Range</t>
  </si>
  <si>
    <t>Typical Value</t>
  </si>
  <si>
    <t>Unit</t>
  </si>
  <si>
    <r>
      <rPr>
        <rFont val="Arial"/>
        <color theme="1"/>
        <sz val="10.0"/>
      </rPr>
      <t xml:space="preserve">Design Ave Flow Rate, </t>
    </r>
    <r>
      <rPr>
        <rFont val="Arial"/>
        <b/>
        <color theme="1"/>
        <sz val="12.0"/>
      </rPr>
      <t>Q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</si>
  <si>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</si>
  <si>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Peak Hourly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p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</si>
  <si>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</si>
  <si>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t>Detention time</t>
  </si>
  <si>
    <t>2 - 5</t>
  </si>
  <si>
    <t>min</t>
  </si>
  <si>
    <t xml:space="preserve"> (at peak hourly flow rate)</t>
  </si>
  <si>
    <r>
      <rPr>
        <rFont val="Arial"/>
        <color theme="1"/>
        <sz val="10.0"/>
      </rPr>
      <t xml:space="preserve">  Peaking Factor, </t>
    </r>
    <r>
      <rPr>
        <rFont val="Arial"/>
        <b/>
        <color theme="1"/>
        <sz val="12.0"/>
      </rPr>
      <t>PF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</si>
  <si>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Grit Chamber Volume, </t>
    </r>
    <r>
      <rPr>
        <rFont val="Arial"/>
        <b/>
        <color theme="1"/>
        <sz val="12.0"/>
      </rPr>
      <t>V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</si>
  <si>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</si>
  <si>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Tank Depth</t>
  </si>
  <si>
    <t>m</t>
  </si>
  <si>
    <t xml:space="preserve">   (Peak hourly flow/Average Flow)</t>
  </si>
  <si>
    <t xml:space="preserve">             (for each tank)</t>
  </si>
  <si>
    <r>
      <rPr>
        <rFont val="Arial"/>
        <color theme="1"/>
        <sz val="10.0"/>
      </rPr>
      <t xml:space="preserve">           Tank Depth, </t>
    </r>
    <r>
      <rPr>
        <rFont val="Arial"/>
        <b/>
        <color theme="1"/>
        <sz val="12.0"/>
      </rPr>
      <t>D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</si>
  <si>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Tank Width,  </t>
    </r>
    <r>
      <rPr>
        <rFont val="Arial"/>
        <b/>
        <color theme="1"/>
        <sz val="12.0"/>
      </rPr>
      <t>W</t>
    </r>
    <r>
      <rPr>
        <rFont val="Arial"/>
        <color theme="1"/>
        <sz val="10.0"/>
      </rPr>
      <t xml:space="preserve"> =</t>
    </r>
  </si>
  <si>
    <t>Tank Width</t>
  </si>
  <si>
    <t>2.5 - 7</t>
  </si>
  <si>
    <r>
      <rPr>
        <rFont val="Arial"/>
        <color theme="1"/>
        <sz val="10.0"/>
      </rPr>
      <t xml:space="preserve">  Length-Width Ratio , </t>
    </r>
    <r>
      <rPr>
        <rFont val="Arial"/>
        <b/>
        <color theme="1"/>
        <sz val="12.0"/>
      </rPr>
      <t>L:W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</si>
  <si>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Tank Length,  </t>
    </r>
    <r>
      <rPr>
        <rFont val="Arial"/>
        <b/>
        <color theme="1"/>
        <sz val="12.0"/>
      </rPr>
      <t>L</t>
    </r>
    <r>
      <rPr>
        <rFont val="Arial"/>
        <color theme="1"/>
        <sz val="10.0"/>
      </rPr>
      <t xml:space="preserve"> =</t>
    </r>
  </si>
  <si>
    <t>7.5 - 20</t>
  </si>
  <si>
    <t>Design Detention Time</t>
  </si>
  <si>
    <r>
      <rPr>
        <rFont val="Arial"/>
        <color theme="1"/>
        <sz val="10.0"/>
      </rPr>
      <t xml:space="preserve">    at Peak Flow Rate, </t>
    </r>
    <r>
      <rPr>
        <rFont val="Arial"/>
        <b/>
        <color theme="1"/>
        <sz val="12.0"/>
      </rPr>
      <t xml:space="preserve">t </t>
    </r>
    <r>
      <rPr>
        <rFont val="Arial"/>
        <color theme="1"/>
        <sz val="10.0"/>
      </rPr>
      <t>=</t>
    </r>
  </si>
  <si>
    <r>
      <rPr>
        <rFont val="Arial"/>
        <color theme="1"/>
        <sz val="10.0"/>
      </rPr>
      <t xml:space="preserve">     Width-Depth Ratio , </t>
    </r>
    <r>
      <rPr>
        <rFont val="Arial"/>
        <b/>
        <color theme="1"/>
        <sz val="12.0"/>
      </rPr>
      <t>W:D</t>
    </r>
    <r>
      <rPr>
        <rFont val="Arial"/>
        <color theme="1"/>
        <sz val="10.0"/>
      </rPr>
      <t xml:space="preserve"> =</t>
    </r>
  </si>
  <si>
    <t>Width:Depth ratio</t>
  </si>
  <si>
    <t>1:1 - 5:1</t>
  </si>
  <si>
    <t>1.5:1</t>
  </si>
  <si>
    <t>Air Supply per</t>
  </si>
  <si>
    <r>
      <rPr>
        <rFont val="Arial"/>
        <color theme="1"/>
        <sz val="10.0"/>
      </rPr>
      <t xml:space="preserve">       Unit of Length 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a</t>
    </r>
    <r>
      <rPr>
        <rFont val="Arial"/>
        <b/>
        <color theme="1"/>
        <sz val="12.0"/>
      </rPr>
      <t>/L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</si>
  <si>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/min-m</t>
    </r>
  </si>
  <si>
    <r>
      <rPr>
        <rFont val="Arial"/>
        <color theme="1"/>
        <sz val="10.0"/>
      </rPr>
      <t xml:space="preserve"> Required Air Supply 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a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</si>
  <si>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/min</t>
    </r>
  </si>
  <si>
    <t>Length:Width ratio</t>
  </si>
  <si>
    <t>3:1 - 5:1</t>
  </si>
  <si>
    <t>4:1</t>
  </si>
  <si>
    <t xml:space="preserve">         (per tank)</t>
  </si>
  <si>
    <r>
      <rPr>
        <rFont val="Arial"/>
        <color theme="1"/>
        <sz val="10.0"/>
      </rPr>
      <t xml:space="preserve">  Number of Grit Chambers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</si>
  <si>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Total Req. Air Supply 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atot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</si>
  <si>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/min</t>
    </r>
  </si>
  <si>
    <t>Required Air Supply</t>
  </si>
  <si>
    <t>0.2 - 0.5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</si>
  <si>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/min-m</t>
    </r>
  </si>
  <si>
    <t xml:space="preserve">  (per unit of length)</t>
  </si>
  <si>
    <t>NOTES:</t>
  </si>
  <si>
    <t>1.  The next worksheet may be used to estimate the peaking factor based on the design</t>
  </si>
  <si>
    <t xml:space="preserve">      average flow rate.  If you use that worksheet, enter the result in cell C9 above.</t>
  </si>
  <si>
    <r>
      <rPr>
        <rFont val="Arial"/>
        <b/>
        <color theme="1"/>
        <sz val="11.0"/>
        <u/>
      </rPr>
      <t>SOURCE</t>
    </r>
    <r>
      <rPr>
        <rFont val="Arial"/>
        <b val="0"/>
        <color theme="1"/>
        <sz val="11.0"/>
        <u/>
      </rPr>
      <t>:  The information in this table came from Table 5-17, p 389 in:</t>
    </r>
  </si>
  <si>
    <t>2.  Ranges and typical values for most of the user input parameters and some of</t>
  </si>
  <si>
    <t xml:space="preserve">     the output calculated values, are given in the table at the right.</t>
  </si>
  <si>
    <r>
      <rPr>
        <rFont val="Arial"/>
        <color theme="1"/>
        <sz val="11.0"/>
      </rPr>
      <t xml:space="preserve">Metcalf &amp; Eddy,  </t>
    </r>
    <r>
      <rPr>
        <rFont val="Arial"/>
        <i/>
        <color theme="1"/>
        <sz val="11.0"/>
      </rPr>
      <t>Wastewater Engineering Treatment and Reuse</t>
    </r>
    <r>
      <rPr>
        <rFont val="Arial"/>
        <color theme="1"/>
        <sz val="11.0"/>
      </rPr>
      <t>, 4th Ed, McGraw Hill, 2003,</t>
    </r>
  </si>
  <si>
    <t>3. If the calculated values of W, L, and/or W:D are not acceptable (within range), the</t>
  </si>
  <si>
    <t xml:space="preserve">    input value(s) of tank depth, Length:Width ratio, and/or number of grit chambers</t>
  </si>
  <si>
    <t xml:space="preserve">    should be changed.</t>
  </si>
  <si>
    <t>Estimation of Peaking Factor - S.I. units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</si>
  <si>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</si>
  <si>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r>
      <rPr>
        <rFont val="Arial"/>
        <color theme="1"/>
        <sz val="10.0"/>
      </rPr>
      <t xml:space="preserve">Design Ave Flow Rate, </t>
    </r>
    <r>
      <rPr>
        <rFont val="Arial"/>
        <b/>
        <color theme="1"/>
        <sz val="12.0"/>
      </rPr>
      <t>Q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</si>
  <si>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</si>
  <si>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Peaking Factor, </t>
    </r>
    <r>
      <rPr>
        <rFont val="Arial"/>
        <b/>
        <color theme="1"/>
        <sz val="12.0"/>
      </rPr>
      <t>PF</t>
    </r>
    <r>
      <rPr>
        <rFont val="Arial"/>
        <color theme="1"/>
        <sz val="10.0"/>
      </rPr>
      <t xml:space="preserve"> =</t>
    </r>
  </si>
  <si>
    <t>NOTE:  The peaking factor is calculated from the following equation:</t>
  </si>
  <si>
    <t xml:space="preserve">  PF  =  - 0.4343 Ln(Q)  +  7.2776</t>
  </si>
  <si>
    <r>
      <rPr>
        <rFont val="Arial"/>
        <color theme="1"/>
      </rPr>
      <t xml:space="preserve"> (Q is in 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/d)</t>
    </r>
  </si>
  <si>
    <r>
      <rPr>
        <rFont val="Arial"/>
        <b/>
        <color theme="1"/>
        <sz val="11.0"/>
        <u/>
      </rPr>
      <t>SOURCE</t>
    </r>
    <r>
      <rPr>
        <rFont val="Arial"/>
        <b val="0"/>
        <color theme="1"/>
        <sz val="11.0"/>
        <u/>
      </rPr>
      <t>:  This equation was derived using the graph shown at the right with data from:</t>
    </r>
  </si>
  <si>
    <r>
      <rPr>
        <rFont val="Arial"/>
        <color theme="1"/>
        <sz val="11.0"/>
      </rPr>
      <t xml:space="preserve">Metcalf &amp; Eddy,  </t>
    </r>
    <r>
      <rPr>
        <rFont val="Arial"/>
        <i/>
        <color theme="1"/>
        <sz val="11.0"/>
      </rPr>
      <t>Wastewater Engineering Treatment and Reuse</t>
    </r>
    <r>
      <rPr>
        <rFont val="Arial"/>
        <color theme="1"/>
        <sz val="11.0"/>
      </rPr>
      <t>, 4th Ed, McGraw Hill, 2003,</t>
    </r>
  </si>
  <si>
    <t>Figure 3-13, p 202.</t>
  </si>
  <si>
    <t>Peaking</t>
  </si>
  <si>
    <t>Population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</si>
  <si>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</si>
  <si>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t>Factor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</si>
</sst>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(* #,##0_);_(* \(#,##0\);_(* &quot;-&quot;??_);_(@_)"/>
  </numFmts>
  <fonts count="1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8.0"/>
      <color theme="1"/>
      <name val="Arial"/>
    </font>
    <font>
      <sz val="12.0"/>
      <color rgb="FF000000"/>
      <name val="Arial"/>
    </font>
    <font>
      <sz val="10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sz val="8.0"/>
      <color rgb="FF808080"/>
      <name val="Verdana"/>
    </font>
    <font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color theme="1"/>
      <name val="Arial"/>
      <scheme val="minor"/>
    </font>
    <font>
      <b/>
      <u/>
      <sz val="11.0"/>
      <color theme="1"/>
      <name val="Arial"/>
    </font>
    <font>
      <sz val="11.0"/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horizontal="center" shrinkToFit="0" vertical="bottom" wrapText="0"/>
    </xf>
    <xf borderId="2" fillId="0" fontId="8" numFmtId="0" xfId="0" applyAlignment="1" applyBorder="1" applyFont="1">
      <alignment horizontal="left" shrinkToFit="0" vertical="bottom" wrapText="0"/>
    </xf>
    <xf borderId="3" fillId="0" fontId="7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center" shrinkToFit="0" vertical="bottom" wrapText="0"/>
    </xf>
    <xf borderId="5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6" fillId="0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12" fillId="0" fontId="7" numFmtId="0" xfId="0" applyAlignment="1" applyBorder="1" applyFont="1">
      <alignment horizontal="center" shrinkToFit="0" vertical="bottom" wrapText="0"/>
    </xf>
    <xf borderId="12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13" fillId="2" fontId="7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horizontal="center" shrinkToFit="0" vertical="center" wrapText="0"/>
    </xf>
    <xf borderId="13" fillId="3" fontId="7" numFmtId="1" xfId="0" applyAlignment="1" applyBorder="1" applyFill="1" applyFont="1" applyNumberFormat="1">
      <alignment horizontal="center" shrinkToFit="0" vertical="bottom" wrapText="0"/>
    </xf>
    <xf borderId="12" fillId="0" fontId="7" numFmtId="49" xfId="0" applyAlignment="1" applyBorder="1" applyFont="1" applyNumberFormat="1">
      <alignment horizontal="center" shrinkToFit="0" vertical="bottom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center" shrinkToFit="0" vertical="bottom" wrapText="0"/>
    </xf>
    <xf borderId="13" fillId="3" fontId="7" numFmtId="164" xfId="0" applyAlignment="1" applyBorder="1" applyFont="1" applyNumberFormat="1">
      <alignment horizontal="center" shrinkToFit="0" vertical="bottom" wrapText="0"/>
    </xf>
    <xf borderId="0" fillId="0" fontId="7" numFmtId="0" xfId="0" applyAlignment="1" applyFont="1">
      <alignment shrinkToFit="0" vertical="center" wrapText="0"/>
    </xf>
    <xf borderId="0" fillId="0" fontId="15" numFmtId="0" xfId="0" applyFont="1"/>
    <xf borderId="12" fillId="0" fontId="7" numFmtId="49" xfId="0" applyAlignment="1" applyBorder="1" applyFont="1" applyNumberFormat="1">
      <alignment shrinkToFit="0" vertical="bottom" wrapText="0"/>
    </xf>
    <xf borderId="12" fillId="0" fontId="7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Font="1"/>
    <xf borderId="13" fillId="3" fontId="7" numFmtId="2" xfId="0" applyAlignment="1" applyBorder="1" applyFont="1" applyNumberFormat="1">
      <alignment horizontal="center"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WW Flow Rate Peaking Factor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xVal>
            <c:numRef>
              <c:f>'Est. of Peaking Factor'!$L$26:$L$33</c:f>
            </c:numRef>
          </c:xVal>
          <c:yVal>
            <c:numRef>
              <c:f>'Est. of Peaking Factor'!$M$26:$M$33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995059"/>
        <c:axId val="953070779"/>
      </c:scatterChart>
      <c:valAx>
        <c:axId val="2057995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Ave Flow Rate, cu m/d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070779"/>
      </c:valAx>
      <c:valAx>
        <c:axId val="953070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Peak hourly flow/ave 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995059"/>
      </c:valAx>
    </c:plotArea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66675</xdr:colOff>
      <xdr:row>2</xdr:row>
      <xdr:rowOff>57150</xdr:rowOff>
    </xdr:from>
    <xdr:ext cx="6524625" cy="321945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8.0" customHeight="1">
      <c r="C1" s="1" t="s">
        <v>0</v>
      </c>
    </row>
    <row r="2" ht="15.75" customHeight="1">
      <c r="A2" s="2"/>
    </row>
    <row r="3" ht="15.0" customHeight="1">
      <c r="A3" s="3" t="s">
        <v>1</v>
      </c>
    </row>
    <row r="4" ht="15.0" customHeight="1">
      <c r="A4" s="3"/>
    </row>
    <row r="5" ht="15.75" customHeight="1">
      <c r="A5" s="3"/>
      <c r="B5" s="3" t="s">
        <v>2</v>
      </c>
    </row>
    <row r="6" ht="15.0" customHeight="1">
      <c r="A6" s="3"/>
    </row>
    <row r="7" ht="15.75" customHeight="1">
      <c r="A7" s="3"/>
      <c r="B7" s="3" t="s">
        <v>3</v>
      </c>
    </row>
    <row r="8" ht="15.0" customHeight="1">
      <c r="A8" s="3"/>
      <c r="B8" s="3"/>
    </row>
    <row r="9" ht="15.75" customHeight="1">
      <c r="A9" s="3"/>
      <c r="B9" s="3" t="s">
        <v>4</v>
      </c>
    </row>
    <row r="10" ht="12.75" customHeight="1"/>
    <row r="11" ht="12.75" customHeight="1"/>
    <row r="12" ht="15.75" customHeight="1">
      <c r="A12" s="4" t="s">
        <v>5</v>
      </c>
      <c r="B12" s="5"/>
    </row>
    <row r="13" ht="15.0" customHeight="1">
      <c r="A13" s="6" t="s">
        <v>6</v>
      </c>
      <c r="B13" s="5"/>
    </row>
    <row r="14" ht="15.0" customHeight="1">
      <c r="A14" s="6" t="s">
        <v>7</v>
      </c>
      <c r="B14" s="5"/>
    </row>
    <row r="15" ht="15.0" customHeight="1">
      <c r="A15" s="6" t="s">
        <v>8</v>
      </c>
      <c r="B15" s="5"/>
    </row>
    <row r="16" ht="15.0" customHeight="1">
      <c r="A16" s="6" t="s">
        <v>9</v>
      </c>
      <c r="B16" s="5"/>
    </row>
    <row r="17" ht="15.0" customHeight="1">
      <c r="A17" s="6" t="s">
        <v>10</v>
      </c>
      <c r="B17" s="5"/>
    </row>
    <row r="18" ht="15.0" customHeight="1">
      <c r="A18" s="6" t="s">
        <v>11</v>
      </c>
      <c r="B18" s="5"/>
    </row>
    <row r="19" ht="15.0" customHeight="1">
      <c r="A19" s="6" t="s">
        <v>12</v>
      </c>
      <c r="B19" s="5"/>
    </row>
    <row r="20" ht="15.0" customHeight="1">
      <c r="A20" s="6" t="s">
        <v>13</v>
      </c>
      <c r="B20" s="5"/>
    </row>
    <row r="21" ht="15.75" customHeight="1">
      <c r="A21" s="7"/>
      <c r="B21" s="5"/>
    </row>
    <row r="22" ht="12.75" customHeight="1"/>
    <row r="23" ht="15.75" customHeight="1">
      <c r="A23" s="2" t="s">
        <v>14</v>
      </c>
    </row>
    <row r="24" ht="15.75" customHeight="1">
      <c r="A24" s="7" t="s">
        <v>15</v>
      </c>
    </row>
    <row r="25" ht="12.75" customHeight="1">
      <c r="A25" s="8"/>
    </row>
    <row r="26" ht="12.75" customHeight="1">
      <c r="A26" s="8"/>
    </row>
    <row r="27" ht="12.75" customHeight="1">
      <c r="A27" s="5"/>
    </row>
    <row r="28" ht="15.75" customHeight="1">
      <c r="A28" s="3"/>
    </row>
    <row r="29" ht="23.25" customHeight="1">
      <c r="B29" s="9"/>
      <c r="C29" s="10"/>
      <c r="D29" s="10"/>
      <c r="E29" s="11"/>
      <c r="F29" s="11"/>
      <c r="G29" s="12"/>
      <c r="H29" s="10"/>
      <c r="I29" s="13"/>
    </row>
    <row r="30" ht="23.25" customHeight="1">
      <c r="A30" s="14"/>
      <c r="B30" s="15" t="s">
        <v>16</v>
      </c>
      <c r="C30" s="16"/>
      <c r="D30" s="16"/>
      <c r="E30" s="17"/>
      <c r="F30" s="17"/>
      <c r="G30" s="16"/>
      <c r="H30" s="8"/>
      <c r="I30" s="18"/>
    </row>
    <row r="31" ht="18.0" customHeight="1">
      <c r="B31" s="19"/>
      <c r="C31" s="8"/>
      <c r="D31" s="20" t="s">
        <v>17</v>
      </c>
      <c r="I31" s="18"/>
    </row>
    <row r="32" ht="24.0" customHeight="1">
      <c r="A32" s="14"/>
      <c r="B32" s="21"/>
      <c r="C32" s="22"/>
      <c r="D32" s="22"/>
      <c r="E32" s="22"/>
      <c r="F32" s="22"/>
      <c r="G32" s="22"/>
      <c r="H32" s="22"/>
      <c r="I32" s="23"/>
    </row>
    <row r="33" ht="12.75" customHeight="1"/>
    <row r="34" ht="12.75" customHeight="1"/>
    <row r="35" ht="12.75" customHeight="1"/>
    <row r="36" ht="12.75" customHeight="1">
      <c r="B36" s="24" t="s">
        <v>18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31:H31"/>
  </mergeCells>
  <hyperlinks>
    <hyperlink r:id="rId1" ref="D3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63"/>
    <col customWidth="1" min="3" max="4" width="8.0"/>
    <col customWidth="1" min="5" max="5" width="4.63"/>
    <col customWidth="1" min="6" max="6" width="13.38"/>
    <col customWidth="1" min="7" max="7" width="12.38"/>
    <col customWidth="1" min="8" max="8" width="11.88"/>
    <col customWidth="1" min="9" max="9" width="8.0"/>
    <col customWidth="1" min="10" max="10" width="7.25"/>
    <col customWidth="1" min="11" max="11" width="3.63"/>
    <col customWidth="1" min="12" max="12" width="21.75"/>
    <col customWidth="1" min="13" max="13" width="13.75"/>
    <col customWidth="1" min="14" max="14" width="13.38"/>
    <col customWidth="1" min="15" max="15" width="8.0"/>
    <col customWidth="1" min="16" max="16" width="4.38"/>
    <col customWidth="1" min="17" max="26" width="8.0"/>
  </cols>
  <sheetData>
    <row r="1" ht="21.0" customHeight="1">
      <c r="A1" s="25" t="s">
        <v>19</v>
      </c>
    </row>
    <row r="2" ht="15.75" customHeight="1">
      <c r="A2" s="3"/>
      <c r="K2" s="9"/>
      <c r="L2" s="10"/>
      <c r="M2" s="10"/>
      <c r="N2" s="10"/>
      <c r="O2" s="10"/>
      <c r="P2" s="13"/>
    </row>
    <row r="3" ht="16.5" customHeight="1">
      <c r="A3" s="26" t="s">
        <v>20</v>
      </c>
      <c r="B3" s="27"/>
      <c r="C3" s="27"/>
      <c r="D3" s="27"/>
      <c r="E3" s="27"/>
      <c r="F3" s="27"/>
      <c r="G3" s="27"/>
      <c r="H3" s="27"/>
      <c r="I3" s="28"/>
      <c r="K3" s="19"/>
      <c r="L3" s="29" t="s">
        <v>21</v>
      </c>
      <c r="P3" s="18"/>
    </row>
    <row r="4" ht="12.75" customHeight="1">
      <c r="K4" s="19"/>
      <c r="L4" s="8"/>
      <c r="M4" s="8"/>
      <c r="N4" s="8"/>
      <c r="O4" s="8"/>
      <c r="P4" s="18"/>
    </row>
    <row r="5" ht="15.75" customHeight="1">
      <c r="A5" s="30" t="s">
        <v>22</v>
      </c>
      <c r="B5" s="3"/>
      <c r="C5" s="3"/>
      <c r="D5" s="3"/>
      <c r="E5" s="3"/>
      <c r="F5" s="30" t="s">
        <v>23</v>
      </c>
      <c r="G5" s="3"/>
      <c r="K5" s="19"/>
      <c r="L5" s="31" t="s">
        <v>24</v>
      </c>
      <c r="M5" s="31" t="s">
        <v>25</v>
      </c>
      <c r="N5" s="31" t="s">
        <v>26</v>
      </c>
      <c r="O5" s="31" t="s">
        <v>27</v>
      </c>
      <c r="P5" s="18"/>
    </row>
    <row r="6" ht="13.5" customHeight="1">
      <c r="K6" s="19"/>
      <c r="L6" s="32"/>
      <c r="M6" s="32"/>
      <c r="N6" s="32"/>
      <c r="O6" s="32"/>
      <c r="P6" s="18"/>
    </row>
    <row r="7" ht="19.5" customHeight="1">
      <c r="A7" s="33" t="s">
        <v>28</v>
      </c>
      <c r="B7" s="8"/>
      <c r="C7" s="34">
        <v>10500.0</v>
      </c>
      <c r="D7" s="35" t="s">
        <v>29</v>
      </c>
      <c r="F7" s="33" t="s">
        <v>30</v>
      </c>
      <c r="G7" s="8"/>
      <c r="H7" s="36">
        <f>C7*C9</f>
        <v>34230</v>
      </c>
      <c r="I7" s="35" t="s">
        <v>31</v>
      </c>
      <c r="K7" s="19"/>
      <c r="L7" s="32" t="s">
        <v>32</v>
      </c>
      <c r="M7" s="37" t="s">
        <v>33</v>
      </c>
      <c r="N7" s="31">
        <v>3.0</v>
      </c>
      <c r="O7" s="31" t="s">
        <v>34</v>
      </c>
      <c r="P7" s="18"/>
    </row>
    <row r="8" ht="13.5" customHeight="1">
      <c r="A8" s="33"/>
      <c r="B8" s="33"/>
      <c r="C8" s="8"/>
      <c r="E8" s="33"/>
      <c r="K8" s="19"/>
      <c r="L8" s="32" t="s">
        <v>35</v>
      </c>
      <c r="M8" s="37"/>
      <c r="N8" s="31"/>
      <c r="O8" s="31"/>
      <c r="P8" s="18"/>
    </row>
    <row r="9" ht="19.5" customHeight="1">
      <c r="A9" s="38" t="s">
        <v>36</v>
      </c>
      <c r="B9" s="8"/>
      <c r="C9" s="34">
        <v>3.26</v>
      </c>
      <c r="D9" s="39"/>
      <c r="E9" s="33"/>
      <c r="F9" s="33" t="s">
        <v>37</v>
      </c>
      <c r="G9" s="8"/>
      <c r="H9" s="40">
        <f>C15*(H7/(24*60))</f>
        <v>71.3125</v>
      </c>
      <c r="I9" s="35" t="s">
        <v>38</v>
      </c>
      <c r="K9" s="19"/>
      <c r="L9" s="32" t="s">
        <v>39</v>
      </c>
      <c r="M9" s="37" t="s">
        <v>33</v>
      </c>
      <c r="N9" s="32"/>
      <c r="O9" s="31" t="s">
        <v>40</v>
      </c>
      <c r="P9" s="18"/>
    </row>
    <row r="10" ht="18.75" customHeight="1">
      <c r="A10" s="38" t="s">
        <v>41</v>
      </c>
      <c r="F10" s="38" t="s">
        <v>42</v>
      </c>
      <c r="K10" s="19"/>
      <c r="L10" s="32"/>
      <c r="M10" s="37"/>
      <c r="N10" s="32"/>
      <c r="O10" s="31"/>
      <c r="P10" s="18"/>
    </row>
    <row r="11" ht="20.25" customHeight="1">
      <c r="A11" s="33" t="s">
        <v>43</v>
      </c>
      <c r="B11" s="8"/>
      <c r="C11" s="34">
        <v>2.5</v>
      </c>
      <c r="D11" s="39" t="s">
        <v>40</v>
      </c>
      <c r="E11" s="39"/>
      <c r="F11" s="41" t="s">
        <v>44</v>
      </c>
      <c r="H11" s="40">
        <f>((H9/C11)/C13)^(1/2)</f>
        <v>3.08355855</v>
      </c>
      <c r="I11" s="39" t="s">
        <v>40</v>
      </c>
      <c r="K11" s="19"/>
      <c r="L11" s="32" t="s">
        <v>45</v>
      </c>
      <c r="M11" s="37" t="s">
        <v>46</v>
      </c>
      <c r="N11" s="32"/>
      <c r="O11" s="31" t="s">
        <v>40</v>
      </c>
      <c r="P11" s="18"/>
    </row>
    <row r="12" ht="15.0" customHeight="1">
      <c r="A12" s="33"/>
      <c r="B12" s="8"/>
      <c r="D12" s="39"/>
      <c r="E12" s="39"/>
      <c r="K12" s="19"/>
      <c r="L12" s="32"/>
      <c r="M12" s="37"/>
      <c r="N12" s="32"/>
      <c r="O12" s="31"/>
      <c r="P12" s="18"/>
    </row>
    <row r="13" ht="18.75" customHeight="1">
      <c r="A13" s="33" t="s">
        <v>47</v>
      </c>
      <c r="B13" s="8"/>
      <c r="C13" s="34">
        <v>3.0</v>
      </c>
      <c r="F13" s="41" t="s">
        <v>48</v>
      </c>
      <c r="H13" s="40">
        <f>C13*H11</f>
        <v>9.250675651</v>
      </c>
      <c r="I13" s="39" t="s">
        <v>40</v>
      </c>
      <c r="K13" s="19"/>
      <c r="L13" s="32" t="s">
        <v>39</v>
      </c>
      <c r="M13" s="37" t="s">
        <v>49</v>
      </c>
      <c r="N13" s="32"/>
      <c r="O13" s="31" t="s">
        <v>40</v>
      </c>
      <c r="P13" s="18"/>
    </row>
    <row r="14" ht="18.0" customHeight="1">
      <c r="A14" s="33" t="s">
        <v>50</v>
      </c>
      <c r="B14" s="8"/>
      <c r="D14" s="39"/>
      <c r="K14" s="19"/>
      <c r="L14" s="32"/>
      <c r="M14" s="37"/>
      <c r="N14" s="31"/>
      <c r="O14" s="31"/>
      <c r="P14" s="18"/>
    </row>
    <row r="15" ht="18.75" customHeight="1">
      <c r="A15" s="33" t="s">
        <v>51</v>
      </c>
      <c r="B15" s="8"/>
      <c r="C15" s="34">
        <v>3.0</v>
      </c>
      <c r="D15" s="39" t="s">
        <v>34</v>
      </c>
      <c r="E15" s="33" t="s">
        <v>52</v>
      </c>
      <c r="F15" s="41"/>
      <c r="H15" s="40">
        <f>H11/C11</f>
        <v>1.23342342</v>
      </c>
      <c r="I15" s="39" t="s">
        <v>40</v>
      </c>
      <c r="K15" s="19"/>
      <c r="L15" s="32" t="s">
        <v>53</v>
      </c>
      <c r="M15" s="37" t="s">
        <v>54</v>
      </c>
      <c r="N15" s="31" t="s">
        <v>55</v>
      </c>
      <c r="O15" s="31"/>
      <c r="P15" s="18"/>
    </row>
    <row r="16" ht="17.25" customHeight="1">
      <c r="A16" s="33" t="s">
        <v>56</v>
      </c>
      <c r="B16" s="8"/>
      <c r="K16" s="19"/>
      <c r="L16" s="32"/>
      <c r="M16" s="37"/>
      <c r="N16" s="31"/>
      <c r="O16" s="31"/>
      <c r="P16" s="18"/>
    </row>
    <row r="17" ht="18.0" customHeight="1">
      <c r="A17" s="33" t="s">
        <v>57</v>
      </c>
      <c r="B17" s="8"/>
      <c r="C17" s="34">
        <v>0.3</v>
      </c>
      <c r="D17" s="35" t="s">
        <v>58</v>
      </c>
      <c r="F17" s="33" t="s">
        <v>59</v>
      </c>
      <c r="H17" s="40">
        <f>C17*H13</f>
        <v>2.775202695</v>
      </c>
      <c r="I17" s="35" t="s">
        <v>60</v>
      </c>
      <c r="K17" s="19"/>
      <c r="L17" s="32" t="s">
        <v>61</v>
      </c>
      <c r="M17" s="37" t="s">
        <v>62</v>
      </c>
      <c r="N17" s="37" t="s">
        <v>63</v>
      </c>
      <c r="O17" s="31"/>
      <c r="P17" s="18"/>
    </row>
    <row r="18" ht="15.0" customHeight="1">
      <c r="F18" s="42" t="s">
        <v>64</v>
      </c>
      <c r="K18" s="19"/>
      <c r="L18" s="32"/>
      <c r="M18" s="43"/>
      <c r="N18" s="32"/>
      <c r="O18" s="32"/>
      <c r="P18" s="18"/>
    </row>
    <row r="19" ht="18.0" customHeight="1">
      <c r="A19" s="38" t="s">
        <v>65</v>
      </c>
      <c r="B19" s="8"/>
      <c r="C19" s="34">
        <v>2.0</v>
      </c>
      <c r="E19" s="33" t="s">
        <v>66</v>
      </c>
      <c r="H19" s="40">
        <f>H17*C19</f>
        <v>5.550405391</v>
      </c>
      <c r="I19" s="35" t="s">
        <v>67</v>
      </c>
      <c r="K19" s="19"/>
      <c r="L19" s="32" t="s">
        <v>68</v>
      </c>
      <c r="M19" s="37" t="s">
        <v>69</v>
      </c>
      <c r="N19" s="32"/>
      <c r="O19" s="44" t="s">
        <v>70</v>
      </c>
      <c r="P19" s="18"/>
    </row>
    <row r="20" ht="15.75" customHeight="1">
      <c r="K20" s="19"/>
      <c r="L20" s="32" t="s">
        <v>71</v>
      </c>
      <c r="M20" s="43"/>
      <c r="N20" s="32"/>
      <c r="O20" s="32"/>
      <c r="P20" s="18"/>
    </row>
    <row r="21" ht="12.75" customHeight="1">
      <c r="K21" s="21"/>
      <c r="L21" s="22"/>
      <c r="M21" s="22"/>
      <c r="N21" s="22"/>
      <c r="O21" s="22"/>
      <c r="P21" s="45"/>
    </row>
    <row r="22" ht="15.75" customHeight="1">
      <c r="A22" s="46" t="s">
        <v>72</v>
      </c>
      <c r="B22" s="47" t="s">
        <v>73</v>
      </c>
    </row>
    <row r="23" ht="15.75" customHeight="1">
      <c r="B23" s="47" t="s">
        <v>74</v>
      </c>
    </row>
    <row r="24" ht="15.75" customHeight="1">
      <c r="K24" s="46" t="s">
        <v>75</v>
      </c>
    </row>
    <row r="25" ht="15.75" customHeight="1">
      <c r="B25" s="47" t="s">
        <v>76</v>
      </c>
    </row>
    <row r="26" ht="15.75" customHeight="1">
      <c r="B26" s="47" t="s">
        <v>77</v>
      </c>
      <c r="K26" s="47" t="s">
        <v>78</v>
      </c>
    </row>
    <row r="27" ht="15.75" customHeight="1">
      <c r="K27" s="47"/>
    </row>
    <row r="28" ht="14.25" customHeight="1">
      <c r="B28" s="47" t="s">
        <v>79</v>
      </c>
    </row>
    <row r="29" ht="14.25" customHeight="1">
      <c r="B29" s="47" t="s">
        <v>80</v>
      </c>
    </row>
    <row r="30" ht="14.25" customHeight="1">
      <c r="B30" s="47" t="s">
        <v>81</v>
      </c>
    </row>
    <row r="31" ht="12.75" customHeight="1"/>
    <row r="32" ht="12.75" customHeight="1"/>
    <row r="33" ht="13.5" customHeight="1"/>
    <row r="34" ht="23.25" customHeight="1">
      <c r="B34" s="9"/>
      <c r="C34" s="10"/>
      <c r="D34" s="10"/>
      <c r="E34" s="11"/>
      <c r="F34" s="11"/>
      <c r="G34" s="12"/>
      <c r="H34" s="13"/>
      <c r="I34" s="8"/>
    </row>
    <row r="35" ht="23.25" customHeight="1">
      <c r="B35" s="15" t="s">
        <v>16</v>
      </c>
      <c r="C35" s="16"/>
      <c r="D35" s="16"/>
      <c r="E35" s="17"/>
      <c r="F35" s="17"/>
      <c r="G35" s="16"/>
      <c r="H35" s="18"/>
      <c r="I35" s="8"/>
    </row>
    <row r="36" ht="18.0" customHeight="1">
      <c r="B36" s="19"/>
      <c r="C36" s="20" t="s">
        <v>17</v>
      </c>
      <c r="H36" s="18"/>
      <c r="I36" s="8"/>
    </row>
    <row r="37" ht="24.0" customHeight="1">
      <c r="B37" s="21"/>
      <c r="C37" s="22"/>
      <c r="D37" s="22"/>
      <c r="E37" s="22"/>
      <c r="F37" s="22"/>
      <c r="G37" s="22"/>
      <c r="H37" s="45"/>
      <c r="I37" s="16"/>
    </row>
    <row r="38" ht="12.75" customHeight="1"/>
    <row r="39" ht="12.75" customHeight="1"/>
    <row r="40" ht="12.75" customHeight="1"/>
    <row r="41" ht="12.75" customHeight="1">
      <c r="B41" s="24" t="s">
        <v>18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>
      <c r="C53" s="48"/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L3:O3"/>
    <mergeCell ref="C36:G36"/>
  </mergeCells>
  <hyperlinks>
    <hyperlink r:id="rId1" ref="C36"/>
    <hyperlink r:id="rId2" ref="C53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13"/>
    <col customWidth="1" min="3" max="4" width="8.0"/>
    <col customWidth="1" min="5" max="5" width="5.13"/>
    <col customWidth="1" min="6" max="6" width="10.38"/>
    <col customWidth="1" min="7" max="7" width="15.63"/>
    <col customWidth="1" min="8" max="8" width="10.75"/>
    <col customWidth="1" min="9" max="9" width="8.0"/>
    <col customWidth="1" min="10" max="10" width="9.25"/>
    <col customWidth="1" min="11" max="11" width="13.13"/>
    <col customWidth="1" min="12" max="12" width="13.38"/>
    <col customWidth="1" min="13" max="26" width="8.0"/>
  </cols>
  <sheetData>
    <row r="1" ht="20.25" customHeight="1">
      <c r="A1" s="25" t="s">
        <v>82</v>
      </c>
    </row>
    <row r="2" ht="15.75" customHeight="1">
      <c r="A2" s="3"/>
    </row>
    <row r="3" ht="16.5" customHeight="1">
      <c r="A3" s="26" t="s">
        <v>83</v>
      </c>
      <c r="B3" s="27"/>
      <c r="C3" s="27"/>
      <c r="D3" s="27"/>
      <c r="E3" s="27"/>
      <c r="F3" s="27"/>
      <c r="G3" s="27"/>
      <c r="H3" s="27"/>
      <c r="I3" s="28"/>
    </row>
    <row r="4" ht="12.75" customHeight="1"/>
    <row r="5" ht="15.75" customHeight="1">
      <c r="A5" s="30" t="s">
        <v>22</v>
      </c>
      <c r="B5" s="3"/>
      <c r="C5" s="3"/>
      <c r="D5" s="3"/>
      <c r="E5" s="3"/>
      <c r="F5" s="30" t="s">
        <v>23</v>
      </c>
      <c r="G5" s="3"/>
    </row>
    <row r="6" ht="13.5" customHeight="1"/>
    <row r="7" ht="19.5" customHeight="1">
      <c r="A7" s="33" t="s">
        <v>84</v>
      </c>
      <c r="B7" s="8"/>
      <c r="C7" s="34">
        <v>10500.0</v>
      </c>
      <c r="D7" s="35" t="s">
        <v>85</v>
      </c>
      <c r="F7" s="38" t="s">
        <v>86</v>
      </c>
      <c r="G7" s="8"/>
      <c r="H7" s="49">
        <f>-(0.4343*LN(C7))+7.2776</f>
        <v>3.256359608</v>
      </c>
      <c r="I7" s="39"/>
    </row>
    <row r="8" ht="18.75" customHeight="1">
      <c r="A8" s="33"/>
      <c r="B8" s="33"/>
      <c r="C8" s="8"/>
      <c r="E8" s="33"/>
      <c r="F8" s="38" t="s">
        <v>41</v>
      </c>
    </row>
    <row r="9" ht="12.75" customHeight="1"/>
    <row r="10" ht="14.25" customHeight="1">
      <c r="A10" s="47" t="s">
        <v>87</v>
      </c>
    </row>
    <row r="11" ht="12.75" customHeight="1"/>
    <row r="12" ht="15.75" customHeight="1">
      <c r="A12" s="2" t="s">
        <v>88</v>
      </c>
      <c r="E12" s="42" t="s">
        <v>89</v>
      </c>
    </row>
    <row r="13" ht="12.75" customHeight="1"/>
    <row r="14" ht="15.0" customHeight="1">
      <c r="A14" s="46" t="s">
        <v>90</v>
      </c>
    </row>
    <row r="15" ht="12.75" customHeight="1"/>
    <row r="16" ht="14.25" customHeight="1">
      <c r="A16" s="47" t="s">
        <v>91</v>
      </c>
    </row>
    <row r="17" ht="14.25" customHeight="1">
      <c r="A17" s="47" t="s">
        <v>92</v>
      </c>
    </row>
    <row r="18" ht="12.75" customHeight="1"/>
    <row r="19" ht="12.75" customHeight="1"/>
    <row r="20" ht="13.5" customHeight="1"/>
    <row r="21" ht="23.25" customHeight="1">
      <c r="B21" s="9"/>
      <c r="C21" s="10"/>
      <c r="D21" s="10"/>
      <c r="E21" s="11"/>
      <c r="F21" s="11"/>
      <c r="G21" s="12"/>
      <c r="H21" s="13"/>
      <c r="I21" s="8"/>
    </row>
    <row r="22" ht="23.25" customHeight="1">
      <c r="B22" s="15" t="s">
        <v>16</v>
      </c>
      <c r="C22" s="16"/>
      <c r="D22" s="16"/>
      <c r="E22" s="17"/>
      <c r="F22" s="17"/>
      <c r="G22" s="16"/>
      <c r="H22" s="18"/>
      <c r="I22" s="8"/>
    </row>
    <row r="23" ht="18.0" customHeight="1">
      <c r="B23" s="19"/>
      <c r="C23" s="20" t="s">
        <v>17</v>
      </c>
      <c r="H23" s="18"/>
      <c r="I23" s="8"/>
      <c r="M23" s="39" t="s">
        <v>93</v>
      </c>
    </row>
    <row r="24" ht="24.0" customHeight="1">
      <c r="B24" s="21"/>
      <c r="C24" s="22"/>
      <c r="D24" s="22"/>
      <c r="E24" s="22"/>
      <c r="F24" s="22"/>
      <c r="G24" s="22"/>
      <c r="H24" s="45"/>
      <c r="I24" s="16"/>
      <c r="K24" s="39" t="s">
        <v>94</v>
      </c>
      <c r="L24" s="35" t="s">
        <v>95</v>
      </c>
      <c r="M24" s="39" t="s">
        <v>96</v>
      </c>
    </row>
    <row r="25" ht="12.75" customHeight="1">
      <c r="K25" s="39"/>
      <c r="L25" s="39"/>
    </row>
    <row r="26" ht="12.75" customHeight="1">
      <c r="K26" s="50">
        <v>5000.0</v>
      </c>
      <c r="L26" s="51">
        <f t="shared" ref="L26:L33" si="1">K26*0.378541</f>
        <v>1892.705</v>
      </c>
      <c r="M26" s="39">
        <v>4.0</v>
      </c>
    </row>
    <row r="27" ht="12.75" customHeight="1">
      <c r="K27" s="50">
        <v>10000.0</v>
      </c>
      <c r="L27" s="51">
        <f t="shared" si="1"/>
        <v>3785.41</v>
      </c>
      <c r="M27" s="39">
        <v>3.7</v>
      </c>
    </row>
    <row r="28" ht="12.75" customHeight="1">
      <c r="B28" s="24" t="s">
        <v>18</v>
      </c>
      <c r="K28" s="50">
        <v>20000.0</v>
      </c>
      <c r="L28" s="51">
        <f t="shared" si="1"/>
        <v>7570.82</v>
      </c>
      <c r="M28" s="39">
        <v>3.4</v>
      </c>
    </row>
    <row r="29" ht="12.75" customHeight="1">
      <c r="K29" s="50">
        <v>50000.0</v>
      </c>
      <c r="L29" s="51">
        <f t="shared" si="1"/>
        <v>18927.05</v>
      </c>
      <c r="M29" s="39">
        <v>3.0</v>
      </c>
    </row>
    <row r="30" ht="12.75" customHeight="1">
      <c r="K30" s="50">
        <v>100000.0</v>
      </c>
      <c r="L30" s="51">
        <f t="shared" si="1"/>
        <v>37854.1</v>
      </c>
      <c r="M30" s="39">
        <v>2.7</v>
      </c>
    </row>
    <row r="31" ht="12.75" customHeight="1">
      <c r="K31" s="50">
        <v>200000.0</v>
      </c>
      <c r="L31" s="51">
        <f t="shared" si="1"/>
        <v>75708.2</v>
      </c>
      <c r="M31" s="39">
        <v>2.4</v>
      </c>
    </row>
    <row r="32" ht="12.75" customHeight="1">
      <c r="K32" s="50">
        <v>500000.0</v>
      </c>
      <c r="L32" s="51">
        <f t="shared" si="1"/>
        <v>189270.5</v>
      </c>
      <c r="M32" s="39">
        <v>2.0</v>
      </c>
    </row>
    <row r="33" ht="12.75" customHeight="1">
      <c r="K33" s="50">
        <v>1000000.0</v>
      </c>
      <c r="L33" s="51">
        <f t="shared" si="1"/>
        <v>378541</v>
      </c>
      <c r="M33" s="39">
        <v>1.7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3:G23"/>
  </mergeCells>
  <hyperlinks>
    <hyperlink r:id="rId1" ref="C23"/>
  </hyperlinks>
  <printOptions/>
  <pageMargins bottom="0.75" footer="0.0" header="0.0" left="0.7" right="0.7" top="0.75"/>
  <pageSetup orientation="landscape"/>
  <drawing r:id="rId2"/>
</worksheet>
</file>