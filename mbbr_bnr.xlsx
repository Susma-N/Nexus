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ntroduction" sheetId="1" r:id="rId5"/>
    <sheet state="visible" name="2. Pre-Anoxic Denitrif." sheetId="2" r:id="rId6"/>
    <sheet state="visible" name="3. Post-Anoxic Denitrif" sheetId="3" r:id="rId7"/>
    <sheet state="visible" name="4. Satn DO vs T" sheetId="4" r:id="rId8"/>
  </sheets>
  <definedNames/>
  <calcPr/>
</workbook>
</file>

<file path=xl/sharedStrings.xml><?xml version="1.0" encoding="utf-8"?>
<sst xmlns="http://schemas.openxmlformats.org/spreadsheetml/2006/main" count="846" uniqueCount="553">
  <si>
    <t>Workbook Contents</t>
  </si>
  <si>
    <t>Introduction to the MBBR worksheets in this workbook:</t>
  </si>
  <si>
    <t>Click on tabs at the bottom of the screen to access the following:</t>
  </si>
  <si>
    <t>Two worksheets are provided to carry out basin sizing and aeration calculations as well as</t>
  </si>
  <si>
    <t xml:space="preserve">alkalinity requirements for a Pre-Anoxic Denitrification process and for a Post-Anoxic 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</si>
  <si>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Introduction (current tab)</t>
    </r>
  </si>
  <si>
    <t>Denitrification process.  The worksheets include calculations for the BOD removal stage</t>
  </si>
  <si>
    <t>and nitrification stage as well as for the anoxic tank.</t>
  </si>
  <si>
    <r>
      <rPr>
        <rFont val="Arial"/>
        <b/>
        <color theme="1"/>
        <sz val="12.0"/>
      </rPr>
      <t>Tab 2.</t>
    </r>
    <r>
      <rPr>
        <rFont val="Arial"/>
        <color theme="1"/>
        <sz val="12.0"/>
      </rPr>
      <t xml:space="preserve"> Pre-Anoxic Denitrification</t>
    </r>
  </si>
  <si>
    <t>Basin sizing is based on a carrier surface area loading rate (SALR).  For BOD removal and</t>
  </si>
  <si>
    <r>
      <rPr>
        <rFont val="Arial"/>
        <b/>
        <color theme="1"/>
        <sz val="12.0"/>
      </rPr>
      <t xml:space="preserve">Tab 3. </t>
    </r>
    <r>
      <rPr>
        <rFont val="Arial"/>
        <color theme="1"/>
        <sz val="12.0"/>
      </rPr>
      <t>Post-Anoxic Denitrification</t>
    </r>
  </si>
  <si>
    <t xml:space="preserve">denitrification, the design SALR value is selected by the user based on the treatment </t>
  </si>
  <si>
    <t>objective, (e.g. high rate BOD removal, normal rate BOD removal, or low rate BOD removal.</t>
  </si>
  <si>
    <r>
      <rPr>
        <rFont val="Arial"/>
        <b/>
        <color theme="1"/>
        <sz val="12.0"/>
      </rPr>
      <t>Tab 4</t>
    </r>
    <r>
      <rPr>
        <rFont val="Arial"/>
        <b val="0"/>
        <color theme="1"/>
        <sz val="12.0"/>
      </rPr>
      <t>. Derivation of Saturation DO vs T Equation</t>
    </r>
  </si>
  <si>
    <t xml:space="preserve">Typical SALR values are provided on the worksheets.  For nitrification, the design SALR is </t>
  </si>
  <si>
    <t>calculated from a kinetic model based on the D.O. level to be maintained in the reactor</t>
  </si>
  <si>
    <t>and the target effluent ammonia nitrogen concentration.</t>
  </si>
  <si>
    <t>Why you shouldn’t give copies of this workbook away</t>
  </si>
  <si>
    <t xml:space="preserve">We at EngineeringExcelTemplates.com hope that you find this workbook useful.  If you </t>
  </si>
  <si>
    <t>Note that the estimated effluent concentration for BOD, or nitrate nitrogen from each</t>
  </si>
  <si>
    <t xml:space="preserve">would like us to develop additional useful spreadsheets for you in the future, then encourage </t>
  </si>
  <si>
    <t xml:space="preserve">BOD removal or denitrification stage is calculated by using an estimated value for the </t>
  </si>
  <si>
    <t xml:space="preserve">your friends and colleagues to buy their own copies, rather than allowing them to copy </t>
  </si>
  <si>
    <t>SARR/SALR (surface area removal rate/surface area loading rate).  The estimated value</t>
  </si>
  <si>
    <t xml:space="preserve">the spreadsheet you purchased.  We have deliberately set our prices so low that no one </t>
  </si>
  <si>
    <t xml:space="preserve">for the SARR/SALR is based on an appropriate graph or table from one of the references </t>
  </si>
  <si>
    <t xml:space="preserve">can really claim that they can’t afford to pay.  But low prices will work for us—that is, we </t>
  </si>
  <si>
    <t>as shown on the worksheets.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</si>
  <si>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</si>
  <si>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</si>
  <si>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The basin sizing calculations require values for several MBBR carrier properties:  (specific</t>
  </si>
  <si>
    <t>available for you in the future.</t>
  </si>
  <si>
    <r>
      <rPr>
        <rFont val="Calibri"/>
        <color rgb="FF000000"/>
        <sz val="11.0"/>
      </rPr>
      <t>surface area in m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/m</t>
    </r>
    <r>
      <rPr>
        <rFont val="Calibri"/>
        <color rgb="FF000000"/>
        <sz val="11.0"/>
        <vertAlign val="superscript"/>
      </rPr>
      <t xml:space="preserve">3 </t>
    </r>
    <r>
      <rPr>
        <rFont val="Calibri"/>
        <color rgb="FF000000"/>
        <sz val="11.0"/>
      </rPr>
      <t>and % void space).  Values to be used in the design calculations</t>
    </r>
  </si>
  <si>
    <t>should come from your carrier supplier.</t>
  </si>
  <si>
    <t>This workbook is provided "as is", without warranty of any kind, express or</t>
  </si>
  <si>
    <t>implied.</t>
  </si>
  <si>
    <t>The aeration/blower calculations are made for a coarse bubble diffuser system.</t>
  </si>
  <si>
    <t>Coarse bubble diffusers are typically used, because they work better</t>
  </si>
  <si>
    <t>with the suspended carrier media.</t>
  </si>
  <si>
    <t xml:space="preserve">       Find more Excel spreadsheets for engineering at</t>
  </si>
  <si>
    <t>EngineeringExcelTemplates.com</t>
  </si>
  <si>
    <t>Copyright © 2018 Harlan H. Bengtson. All Rights Reserved.</t>
  </si>
  <si>
    <t>MBBR Process Design Calculations - S.I. units</t>
  </si>
  <si>
    <t xml:space="preserve">       Pre-Anoxic Denitrification Process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</si>
  <si>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1.0"/>
      </rPr>
      <t xml:space="preserve"> </t>
    </r>
    <r>
      <rPr>
        <rFont val="Arial"/>
        <b/>
        <i/>
        <color theme="1"/>
        <sz val="11.0"/>
      </rPr>
      <t>Enter values in blue boxes.  Spreadsheet calculates values in yellow boxes</t>
    </r>
  </si>
  <si>
    <t>I. Wastewater Parameter Inputs</t>
  </si>
  <si>
    <t>1. Parameters for All Three Stages</t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</si>
  <si>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</si>
  <si>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</si>
  <si>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Prim. Effl.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</si>
  <si>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t>mg/L</t>
  </si>
  <si>
    <t xml:space="preserve">   Prim. Effl. TKN Conc. =</t>
  </si>
  <si>
    <r>
      <rPr>
        <rFont val="Arial"/>
        <color theme="1"/>
        <sz val="10.0"/>
      </rPr>
      <t xml:space="preserve"> Prim. Effl.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Conc. =</t>
    </r>
  </si>
  <si>
    <t xml:space="preserve">       Peak Hour Factor =</t>
  </si>
  <si>
    <t xml:space="preserve">           Prim. Effl. Alkalinity =</t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</si>
  <si>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</si>
  <si>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1.0"/>
      </rPr>
      <t>Estimation of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1.0"/>
      </rPr>
      <t xml:space="preserve">SARR/SALR Ratio: </t>
    </r>
    <r>
      <rPr>
        <rFont val="Arial"/>
        <color theme="1"/>
        <sz val="11.0"/>
      </rPr>
      <t xml:space="preserve"> Default data points for derivation of a SARR vs SALR</t>
    </r>
  </si>
  <si>
    <t xml:space="preserve">equation are provided for The denitrification and BOD removal stages.  They may be </t>
  </si>
  <si>
    <t>2. Parameters for First (Pre-Anoxic) Stage:</t>
  </si>
  <si>
    <t>replaced by values from user data if such data is available.</t>
  </si>
  <si>
    <t>NOTE:  This graph was prepared using values from a similar graph in</t>
  </si>
  <si>
    <t>Data points for SARR/SALR vs SALR</t>
  </si>
  <si>
    <t>Rusten and Paulsrud's presentation (Ref #6 below).</t>
  </si>
  <si>
    <r>
      <rPr>
        <rFont val="Arial"/>
        <color theme="1"/>
        <sz val="10.0"/>
      </rPr>
      <t xml:space="preserve">  Target Effl.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Conc. =</t>
    </r>
  </si>
  <si>
    <r>
      <rPr>
        <rFont val="Arial"/>
        <color theme="1"/>
        <sz val="10.0"/>
      </rPr>
      <t xml:space="preserve">          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 xml:space="preserve"> (g/m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/d):</t>
    </r>
  </si>
  <si>
    <t>Typical Design Values for Carrier Surface Area Loading Rate (SALR):</t>
  </si>
  <si>
    <r>
      <rPr>
        <rFont val="Arial"/>
        <color theme="1"/>
        <sz val="10.0"/>
      </rPr>
      <t xml:space="preserve">  Est. of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Recycle Rato:</t>
    </r>
  </si>
  <si>
    <t xml:space="preserve">            SARR/SALR:</t>
  </si>
  <si>
    <t xml:space="preserve">   (from References (2) below)</t>
  </si>
  <si>
    <r>
      <rPr>
        <rFont val="Arial"/>
        <b/>
        <color rgb="FF0000FF"/>
        <sz val="10.0"/>
      </rPr>
      <t xml:space="preserve">  (Q</t>
    </r>
    <r>
      <rPr>
        <rFont val="Arial"/>
        <b/>
        <color rgb="FF0000FF"/>
        <sz val="10.0"/>
        <vertAlign val="subscript"/>
      </rPr>
      <t>R</t>
    </r>
    <r>
      <rPr>
        <rFont val="Arial"/>
        <b/>
        <color rgb="FF0000FF"/>
        <sz val="10.0"/>
      </rPr>
      <t>/Q</t>
    </r>
    <r>
      <rPr>
        <rFont val="Arial"/>
        <b/>
        <color rgb="FF0000FF"/>
        <sz val="10.0"/>
        <vertAlign val="subscript"/>
      </rPr>
      <t>o</t>
    </r>
    <r>
      <rPr>
        <rFont val="Arial"/>
        <b/>
        <color rgb="FF0000FF"/>
        <sz val="10.0"/>
      </rPr>
      <t>) - An estimate is needed here to start</t>
    </r>
  </si>
  <si>
    <t>(default values above are from a graph of Pre-Anoxic</t>
  </si>
  <si>
    <t xml:space="preserve">  the iterative calculation in Sec IV below</t>
  </si>
  <si>
    <t xml:space="preserve">     SARR vs SALR in ref #6 below right)</t>
  </si>
  <si>
    <r>
      <rPr>
        <rFont val="Arial"/>
        <color theme="1"/>
        <sz val="10.0"/>
      </rPr>
      <t xml:space="preserve"> Design Value of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Surface</t>
    </r>
  </si>
  <si>
    <t xml:space="preserve">        (The graph is shown at the right.)</t>
  </si>
  <si>
    <t xml:space="preserve"> Area Loading Rate (SALR) =</t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</si>
  <si>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</si>
  <si>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 xml:space="preserve">         Slope, SARR/SALR vs SALR:</t>
  </si>
  <si>
    <t>See information on typical design</t>
  </si>
  <si>
    <t xml:space="preserve">     Intercept, SARR/SALR vs SALR:</t>
  </si>
  <si>
    <t xml:space="preserve">     values for SALR at right.</t>
  </si>
  <si>
    <t xml:space="preserve">                Est. of SARR/SALR Rato =</t>
  </si>
  <si>
    <t xml:space="preserve">   (Surf. Area Removal Rate/Surf. Area Loading Rate)</t>
  </si>
  <si>
    <t xml:space="preserve">  Nitrification SARR:</t>
  </si>
  <si>
    <t>3. Parameters for Second (BOD Removal) Stage:</t>
  </si>
  <si>
    <t xml:space="preserve"> Design Value of BOD Surface</t>
  </si>
  <si>
    <r>
      <rPr>
        <rFont val="Arial"/>
        <color theme="1"/>
        <sz val="10.0"/>
      </rPr>
      <t xml:space="preserve">          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 xml:space="preserve"> (g/m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/d):</t>
    </r>
  </si>
  <si>
    <t xml:space="preserve">  Area Loading Rate (SALR) =</t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</si>
  <si>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</si>
  <si>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>(default values above are from the table of typical values</t>
  </si>
  <si>
    <t xml:space="preserve">  of % BOD removal vs SALR shown at the right from ref #2)</t>
  </si>
  <si>
    <t xml:space="preserve">   Est. of SARR/SALR Rato =</t>
  </si>
  <si>
    <t>4. Parameters for Third (Nitrification) Stage:</t>
  </si>
  <si>
    <t>Nitrification SARR:</t>
  </si>
  <si>
    <t>Adapted from Metcalf &amp; Eddy, 5th Ed, Fig 9-25</t>
  </si>
  <si>
    <r>
      <rPr>
        <rFont val="Arial"/>
        <color theme="1"/>
        <sz val="10.0"/>
      </rPr>
      <t xml:space="preserve">      Min Design Temp., </t>
    </r>
    <r>
      <rPr>
        <rFont val="Arial"/>
        <b/>
        <color theme="1"/>
        <sz val="11.0"/>
      </rPr>
      <t>T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</si>
  <si>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</si>
  <si>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>Target Effl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-N Conc, </t>
    </r>
    <r>
      <rPr>
        <rFont val="Arial"/>
        <b/>
        <color theme="1"/>
        <sz val="11.0"/>
      </rPr>
      <t>NH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 =</t>
    </r>
  </si>
  <si>
    <t>D.O.</t>
  </si>
  <si>
    <r>
      <rPr>
        <rFont val="Arial"/>
        <color theme="1"/>
        <sz val="10.0"/>
      </rPr>
      <t>SARR</t>
    </r>
    <r>
      <rPr>
        <rFont val="Arial"/>
        <color theme="1"/>
        <sz val="10.0"/>
        <vertAlign val="subscript"/>
      </rPr>
      <t>max</t>
    </r>
  </si>
  <si>
    <r>
      <rPr>
        <rFont val="Arial"/>
        <color theme="1"/>
        <sz val="10.0"/>
      </rPr>
      <t>N @ SARR</t>
    </r>
    <r>
      <rPr>
        <rFont val="Arial"/>
        <color theme="1"/>
        <sz val="10.0"/>
        <vertAlign val="subscript"/>
      </rPr>
      <t>max</t>
    </r>
  </si>
  <si>
    <t xml:space="preserve">   Click on cell H26 and on arrow to select D.O Conc.</t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</si>
  <si>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</si>
  <si>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>The values in the table at the left come from Figure 9-25 in Metcalf &amp; Eddy,</t>
  </si>
  <si>
    <t xml:space="preserve">    D.O Conc. in Reactor =</t>
  </si>
  <si>
    <t>Wastewater Engineering, Treatment and Resource Recovery, 5th Ed.</t>
  </si>
  <si>
    <t>5. Preliminary Calculations - Design SALR value for Nitrification</t>
  </si>
  <si>
    <r>
      <rPr>
        <rFont val="Arial"/>
        <color theme="1"/>
        <sz val="10.0"/>
      </rPr>
      <t xml:space="preserve">      The N values at SARR</t>
    </r>
    <r>
      <rPr>
        <rFont val="Arial"/>
        <color theme="1"/>
        <sz val="10.0"/>
        <vertAlign val="subscript"/>
      </rPr>
      <t>max</t>
    </r>
    <r>
      <rPr>
        <rFont val="Arial"/>
        <color theme="1"/>
        <sz val="10.0"/>
      </rPr>
      <t xml:space="preserve"> were read from Figure 9-25.  The SARR</t>
    </r>
    <r>
      <rPr>
        <rFont val="Arial"/>
        <color theme="1"/>
        <sz val="10.0"/>
        <vertAlign val="subscript"/>
      </rPr>
      <t>max</t>
    </r>
  </si>
  <si>
    <t>values were calculated for those N values using Eqn 9-48 from Metcalf &amp; Eddy,</t>
  </si>
  <si>
    <r>
      <rPr>
        <rFont val="Arial"/>
        <color theme="1"/>
        <sz val="10.0"/>
      </rPr>
      <t xml:space="preserve">    %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 removal =</t>
    </r>
  </si>
  <si>
    <r>
      <rPr>
        <rFont val="Arial"/>
        <color theme="1"/>
        <sz val="10.0"/>
      </rPr>
      <t xml:space="preserve"> 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</t>
    </r>
    <r>
      <rPr>
        <rFont val="Arial"/>
        <color theme="1"/>
        <sz val="10.0"/>
        <vertAlign val="subscript"/>
      </rPr>
      <t>e</t>
    </r>
    <r>
      <rPr>
        <rFont val="Arial"/>
        <color theme="1"/>
        <sz val="10.0"/>
      </rPr>
      <t xml:space="preserve"> @ SARR</t>
    </r>
    <r>
      <rPr>
        <rFont val="Arial"/>
        <color theme="1"/>
        <sz val="10.0"/>
        <vertAlign val="subscript"/>
      </rPr>
      <t>max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</si>
  <si>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5th Ed:   </t>
    </r>
    <r>
      <rPr>
        <rFont val="Arial"/>
        <b/>
        <color theme="1"/>
        <sz val="10.0"/>
      </rPr>
      <t>SARR =  [N/(2.2 + N)]*3.3</t>
    </r>
    <r>
      <rPr>
        <rFont val="Arial"/>
        <color theme="1"/>
        <sz val="10.0"/>
      </rPr>
      <t xml:space="preserve">,  where </t>
    </r>
    <r>
      <rPr>
        <rFont val="Arial"/>
        <b/>
        <color theme="1"/>
        <sz val="10.0"/>
      </rPr>
      <t>N</t>
    </r>
    <r>
      <rPr>
        <rFont val="Arial"/>
        <color theme="1"/>
        <sz val="10.0"/>
      </rPr>
      <t xml:space="preserve"> is the bulk liquid (effluent)</t>
    </r>
  </si>
  <si>
    <t xml:space="preserve">     Maximum SARR =</t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</si>
  <si>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</si>
  <si>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>SARR @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-Ne, 15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1.0"/>
      </rPr>
      <t>SARR</t>
    </r>
    <r>
      <rPr>
        <rFont val="Arial"/>
        <b/>
        <color theme="1"/>
        <sz val="11.0"/>
        <vertAlign val="subscript"/>
      </rPr>
      <t>15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</si>
  <si>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</si>
  <si>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>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 concentration.</t>
    </r>
  </si>
  <si>
    <r>
      <rPr>
        <rFont val="Arial"/>
        <color theme="1"/>
        <sz val="10.0"/>
      </rPr>
      <t>SARR @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-Ne, T 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1.0"/>
      </rPr>
      <t>SARR</t>
    </r>
    <r>
      <rPr>
        <rFont val="Arial"/>
        <b/>
        <color theme="1"/>
        <sz val="11.0"/>
        <vertAlign val="subscript"/>
      </rPr>
      <t>T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</si>
  <si>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</si>
  <si>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  SARR temperature correction coefficients being used are: </t>
    </r>
    <r>
      <rPr>
        <rFont val="Arial"/>
        <b/>
        <color theme="1"/>
        <sz val="11.0"/>
      </rPr>
      <t xml:space="preserve"> </t>
    </r>
    <r>
      <rPr>
        <rFont val="Symbol"/>
        <b/>
        <color theme="1"/>
        <sz val="11.0"/>
      </rPr>
      <t>q</t>
    </r>
    <r>
      <rPr>
        <rFont val="Arial"/>
        <color theme="1"/>
        <sz val="10.0"/>
      </rPr>
      <t xml:space="preserve"> = 1.058 for DO limited </t>
    </r>
  </si>
  <si>
    <r>
      <rPr>
        <rFont val="Arial"/>
        <color theme="1"/>
        <sz val="10.0"/>
      </rPr>
      <t xml:space="preserve"> SARR Temp. Coeff, </t>
    </r>
    <r>
      <rPr>
        <rFont val="Symbol"/>
        <b/>
        <color theme="1"/>
        <sz val="11.0"/>
      </rPr>
      <t>q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</si>
  <si>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          Design Value for nitrification </t>
    </r>
    <r>
      <rPr>
        <rFont val="Arial"/>
        <b/>
        <color theme="1"/>
        <sz val="11.0"/>
      </rPr>
      <t>SALR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</si>
  <si>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</si>
  <si>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conditions and </t>
    </r>
    <r>
      <rPr>
        <rFont val="Symbol"/>
        <b/>
        <color theme="1"/>
        <sz val="11.0"/>
      </rPr>
      <t>q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0.0"/>
      </rPr>
      <t>= 1.098 for ammonia limited conditions.  (per Salvetti et al - see ref list below)</t>
    </r>
  </si>
  <si>
    <t>SARR temperature adjustments are made with:</t>
  </si>
  <si>
    <r>
      <rPr>
        <rFont val="Arial"/>
        <b/>
        <color theme="1"/>
        <sz val="11.0"/>
      </rPr>
      <t>SARR</t>
    </r>
    <r>
      <rPr>
        <rFont val="Arial"/>
        <b/>
        <color theme="1"/>
        <sz val="11.0"/>
        <vertAlign val="subscript"/>
      </rPr>
      <t>T</t>
    </r>
    <r>
      <rPr>
        <rFont val="Arial"/>
        <b/>
        <color theme="1"/>
        <sz val="11.0"/>
      </rPr>
      <t xml:space="preserve"> = SARR</t>
    </r>
    <r>
      <rPr>
        <rFont val="Arial"/>
        <b/>
        <color theme="1"/>
        <sz val="11.0"/>
        <vertAlign val="subscript"/>
      </rPr>
      <t>15</t>
    </r>
    <r>
      <rPr>
        <rFont val="Symbol"/>
        <b/>
        <color theme="1"/>
        <sz val="11.0"/>
      </rPr>
      <t>q</t>
    </r>
    <r>
      <rPr>
        <rFont val="Arial"/>
        <b/>
        <color theme="1"/>
        <sz val="11.0"/>
        <vertAlign val="superscript"/>
      </rPr>
      <t>(T - 15)</t>
    </r>
  </si>
  <si>
    <t>II. Determine whether to use Pre-Anoxic or Post-Anoxic Denitrification</t>
  </si>
  <si>
    <t xml:space="preserve">     SALR is calculated as SARR/% removal.</t>
  </si>
  <si>
    <r>
      <rPr>
        <rFont val="Arial"/>
        <color theme="1"/>
      </rPr>
      <t xml:space="preserve">Carbon:Nitrogen Ratio, </t>
    </r>
    <r>
      <rPr>
        <rFont val="Arial"/>
        <b/>
        <color theme="1"/>
        <sz val="11.0"/>
      </rPr>
      <t>C/N</t>
    </r>
    <r>
      <rPr>
        <rFont val="Arial"/>
        <color theme="1"/>
        <sz val="10.0"/>
      </rPr>
      <t xml:space="preserve"> =</t>
    </r>
  </si>
  <si>
    <t>Target % N removal =</t>
  </si>
  <si>
    <t>Denitrification calculations</t>
  </si>
  <si>
    <t>Criteria for Determining whether to use Pre- or Post-Denitrification:</t>
  </si>
  <si>
    <t xml:space="preserve">     (from references 1 and 2 below)</t>
  </si>
  <si>
    <t>III. Carrier and Tank Shape Parameter Inputs for all Three Stages</t>
  </si>
  <si>
    <r>
      <rPr>
        <rFont val="Arial"/>
        <color theme="1"/>
        <sz val="11.0"/>
      </rPr>
      <t xml:space="preserve">1.  Pre-Denitirication is suitable if  </t>
    </r>
    <r>
      <rPr>
        <rFont val="Arial"/>
        <b/>
        <color theme="1"/>
        <sz val="11.0"/>
      </rPr>
      <t xml:space="preserve">C/N  </t>
    </r>
    <r>
      <rPr>
        <rFont val="Arial"/>
        <b/>
        <color theme="1"/>
        <sz val="11.0"/>
        <u/>
      </rPr>
      <t>&gt;</t>
    </r>
    <r>
      <rPr>
        <rFont val="Arial"/>
        <b/>
        <color theme="1"/>
        <sz val="11.0"/>
      </rPr>
      <t xml:space="preserve">  4</t>
    </r>
    <r>
      <rPr>
        <rFont val="Arial"/>
        <color theme="1"/>
        <sz val="11.0"/>
      </rPr>
      <t xml:space="preserve">  and   </t>
    </r>
    <r>
      <rPr>
        <rFont val="Arial"/>
        <b/>
        <color theme="1"/>
        <sz val="11.0"/>
      </rPr>
      <t xml:space="preserve">Target % Removal of N  </t>
    </r>
    <r>
      <rPr>
        <rFont val="Arial"/>
        <b/>
        <color theme="1"/>
        <sz val="11.0"/>
        <u/>
      </rPr>
      <t>&lt;</t>
    </r>
    <r>
      <rPr>
        <rFont val="Arial"/>
        <b/>
        <color theme="1"/>
        <sz val="11.0"/>
      </rPr>
      <t xml:space="preserve">  75%</t>
    </r>
  </si>
  <si>
    <t>Carrier Spec. Surf. Area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</si>
  <si>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</si>
  <si>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Click on green box and then  on</t>
  </si>
  <si>
    <r>
      <rPr>
        <rFont val="Arial"/>
        <color theme="1"/>
        <sz val="11.0"/>
      </rPr>
      <t xml:space="preserve">2.  Post-Denitirication should be used if  </t>
    </r>
    <r>
      <rPr>
        <rFont val="Arial"/>
        <b/>
        <color theme="1"/>
        <sz val="11.0"/>
      </rPr>
      <t>C/N  &lt;  4</t>
    </r>
    <r>
      <rPr>
        <rFont val="Arial"/>
        <color theme="1"/>
        <sz val="11.0"/>
      </rPr>
      <t xml:space="preserve">  or   </t>
    </r>
    <r>
      <rPr>
        <rFont val="Arial"/>
        <b/>
        <color theme="1"/>
        <sz val="11.0"/>
      </rPr>
      <t>Target % Removal of N  &gt;  75%</t>
    </r>
  </si>
  <si>
    <t xml:space="preserve">        (from carrier mfr/vendor)</t>
  </si>
  <si>
    <t xml:space="preserve">  arrow to Select Tank Shape:</t>
  </si>
  <si>
    <t>rectangular</t>
  </si>
  <si>
    <t>Liquid Depth in Tank =</t>
  </si>
  <si>
    <t>m</t>
  </si>
  <si>
    <t xml:space="preserve">  Carrier % Void Space =</t>
  </si>
  <si>
    <t xml:space="preserve">         Tank L:W ratio =</t>
  </si>
  <si>
    <t xml:space="preserve"> (from carrier mfr/vendor - only needed to</t>
  </si>
  <si>
    <t xml:space="preserve"> (target L:W - only used if tank is rectangular)</t>
  </si>
  <si>
    <t xml:space="preserve">   calculate hydraulic detention time)</t>
  </si>
  <si>
    <t>IV. Calculation of Carrier Volume and Required Tank Volume &amp; Dimensions</t>
  </si>
  <si>
    <t xml:space="preserve">1. First Stage (Pre-Anoxic Tank) Calculations </t>
  </si>
  <si>
    <t>(Carrier fill % is typically between 30% and 70%.  Lower</t>
  </si>
  <si>
    <t>values are more conservative, allowing future capacity</t>
  </si>
  <si>
    <t>Design Carrier Fill % =</t>
  </si>
  <si>
    <t xml:space="preserve"> (for first stage)</t>
  </si>
  <si>
    <t>expansion or reduction of SALR by adding more carrier.</t>
  </si>
  <si>
    <r>
      <rPr>
        <rFont val="Arial"/>
        <color theme="1"/>
      </rPr>
      <t xml:space="preserve"> 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Daily Loading =</t>
    </r>
  </si>
  <si>
    <t>g/day</t>
  </si>
  <si>
    <t xml:space="preserve"> Calculated Tank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</si>
  <si>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</si>
  <si>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Equations used for Tank Sizing - Pre-Anoxic Stage</t>
  </si>
  <si>
    <t>Carrier Surf. Area needed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</si>
  <si>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</si>
  <si>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>Calculated Carrier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</si>
  <si>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</si>
  <si>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b/>
        <color rgb="FF000000"/>
        <sz val="11.0"/>
      </rPr>
      <t xml:space="preserve">  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 = 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*Prim Effl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+ 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Recycle Ratio*Target Effl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</t>
    </r>
  </si>
  <si>
    <t xml:space="preserve">     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</si>
  <si>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</si>
  <si>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Nominal Hydraulic Retention Time at</t>
  </si>
  <si>
    <t xml:space="preserve">  Carrier Surf. Area needed = Nitrate Daily Loading/SALR_PreAnoxic</t>
  </si>
  <si>
    <t xml:space="preserve">  Design Average Flow =</t>
  </si>
  <si>
    <t>min</t>
  </si>
  <si>
    <t xml:space="preserve">  Carrier Volume needed = Carrier Surf Area/Carrier Spec Surf Area</t>
  </si>
  <si>
    <r>
      <rPr>
        <rFont val="Arial"/>
        <color theme="1"/>
        <sz val="10.0"/>
      </rPr>
      <t xml:space="preserve">  Estimate of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Surface Area</t>
    </r>
  </si>
  <si>
    <t xml:space="preserve">      Peak Hourly Flow =</t>
  </si>
  <si>
    <t xml:space="preserve">  Required Tank Volume = Carrier Volume/Des Carrier Fill PerCent</t>
  </si>
  <si>
    <r>
      <rPr>
        <rFont val="Arial"/>
        <color theme="1"/>
        <sz val="10.0"/>
      </rPr>
      <t xml:space="preserve">       Removal Rate, </t>
    </r>
    <r>
      <rPr>
        <rFont val="Arial"/>
        <b/>
        <color theme="1"/>
        <sz val="10.0"/>
      </rPr>
      <t>SARR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</si>
  <si>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</si>
  <si>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Calibri"/>
        <color rgb="FF000000"/>
        <sz val="11.0"/>
      </rPr>
      <t xml:space="preserve">  Tank Width &amp; Length calculated from:  </t>
    </r>
    <r>
      <rPr>
        <rFont val="Calibri"/>
        <b/>
        <color rgb="FF000000"/>
        <sz val="11.0"/>
      </rPr>
      <t>Tank Volume = L*W*Liquid Depth</t>
    </r>
  </si>
  <si>
    <r>
      <rPr>
        <rFont val="Arial"/>
        <color theme="1"/>
        <sz val="10.0"/>
      </rPr>
      <t xml:space="preserve">  Req'd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Removal Rate:</t>
    </r>
  </si>
  <si>
    <r>
      <rPr>
        <rFont val="Arial"/>
        <color theme="1"/>
        <sz val="10.0"/>
      </rPr>
      <t xml:space="preserve">       Est. of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Removal Rate:</t>
    </r>
  </si>
  <si>
    <r>
      <rPr>
        <rFont val="Calibri"/>
        <color rgb="FF000000"/>
        <sz val="11.0"/>
      </rPr>
      <t xml:space="preserve">  </t>
    </r>
    <r>
      <rPr>
        <rFont val="Calibri"/>
        <b/>
        <color rgb="FF000000"/>
        <sz val="11.0"/>
      </rPr>
      <t>Or</t>
    </r>
    <r>
      <rPr>
        <rFont val="Calibri"/>
        <color rgb="FF000000"/>
        <sz val="11.0"/>
      </rPr>
      <t xml:space="preserve">, Tank Diameter calculated from:  </t>
    </r>
    <r>
      <rPr>
        <rFont val="Calibri"/>
        <b/>
        <color rgb="FF000000"/>
        <sz val="11.0"/>
      </rPr>
      <t>Tank Volume = (</t>
    </r>
    <r>
      <rPr>
        <rFont val="Symbol"/>
        <b/>
        <color rgb="FF000000"/>
        <sz val="11.0"/>
      </rPr>
      <t>p</t>
    </r>
    <r>
      <rPr>
        <rFont val="Calibri"/>
        <b/>
        <color rgb="FF000000"/>
        <sz val="11.0"/>
      </rPr>
      <t>D</t>
    </r>
    <r>
      <rPr>
        <rFont val="Calibri"/>
        <b/>
        <color rgb="FF000000"/>
        <sz val="11.0"/>
        <vertAlign val="superscript"/>
      </rPr>
      <t>2</t>
    </r>
    <r>
      <rPr>
        <rFont val="Calibri"/>
        <b/>
        <color rgb="FF000000"/>
        <sz val="11.0"/>
      </rPr>
      <t>/4)Liquid Depth</t>
    </r>
  </si>
  <si>
    <r>
      <rPr>
        <rFont val="Arial"/>
        <color theme="1"/>
        <sz val="10.0"/>
      </rPr>
      <t xml:space="preserve">    (for Effl.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= Target Value)</t>
    </r>
  </si>
  <si>
    <r>
      <rPr>
        <rFont val="Arial"/>
        <color theme="1"/>
        <sz val="10.0"/>
      </rPr>
      <t xml:space="preserve">       Est. Rem Rate - Req'd</t>
    </r>
    <r>
      <rPr>
        <rFont val="Arial"/>
        <color theme="1"/>
        <sz val="10.0"/>
      </rPr>
      <t xml:space="preserve"> Rate:</t>
    </r>
  </si>
  <si>
    <t xml:space="preserve">  Tank Liquid Volume = Tank Volume-((1-Carrier PerCent Void)*Carrier Volume)</t>
  </si>
  <si>
    <r>
      <rPr>
        <rFont val="Times New Roman"/>
        <b/>
        <color rgb="FF0000FF"/>
        <sz val="11.0"/>
      </rPr>
      <t>NOTE:  Use Excel's "Goal Seek" to find Q</t>
    </r>
    <r>
      <rPr>
        <rFont val="Times New Roman"/>
        <b/>
        <color rgb="FF0000FF"/>
        <sz val="11.0"/>
        <vertAlign val="subscript"/>
      </rPr>
      <t>R</t>
    </r>
    <r>
      <rPr>
        <rFont val="Times New Roman"/>
        <b/>
        <color rgb="FF0000FF"/>
        <sz val="11.0"/>
      </rPr>
      <t>/Q</t>
    </r>
    <r>
      <rPr>
        <rFont val="Times New Roman"/>
        <b/>
        <color rgb="FF0000FF"/>
        <sz val="11.0"/>
        <vertAlign val="subscript"/>
      </rPr>
      <t>o</t>
    </r>
    <r>
      <rPr>
        <rFont val="Times New Roman"/>
        <b/>
        <color rgb="FF0000FF"/>
        <sz val="11.0"/>
      </rPr>
      <t xml:space="preserve"> as follows:  Place the cursor on cell H72 and click on</t>
    </r>
  </si>
  <si>
    <t xml:space="preserve">  Nominal HRT at Des Ave Flow = Tank Liq Vol/(WW Flow Rate/(24*60))</t>
  </si>
  <si>
    <t>"Goal Seek" (in the "tools" menu of older versions and under "Data - What if Analysis" in newer</t>
  </si>
  <si>
    <t xml:space="preserve">  Nominal HRT at Peak Hourly Flow = Hydr Det Time at Des Ave Flow/Peak Hour Factor</t>
  </si>
  <si>
    <t>versions of Excel).  Enter values to "Set cell:"  H72, "To value:"  0, "By changing cell:" c17, and</t>
  </si>
  <si>
    <t xml:space="preserve">  Estimated  SARR = SALR(SARR/SALR)</t>
  </si>
  <si>
    <r>
      <rPr>
        <rFont val="Times New Roman"/>
        <b/>
        <color rgb="FF0000FF"/>
        <sz val="11.0"/>
      </rPr>
      <t>click on "OK".  The calculated value of Q</t>
    </r>
    <r>
      <rPr>
        <rFont val="Times New Roman"/>
        <b/>
        <color rgb="FF0000FF"/>
        <sz val="11.0"/>
        <vertAlign val="subscript"/>
      </rPr>
      <t>R</t>
    </r>
    <r>
      <rPr>
        <rFont val="Times New Roman"/>
        <b/>
        <color rgb="FF0000FF"/>
        <sz val="11.0"/>
      </rPr>
      <t>/Q</t>
    </r>
    <r>
      <rPr>
        <rFont val="Times New Roman"/>
        <b/>
        <color rgb="FF0000FF"/>
        <sz val="11.0"/>
        <vertAlign val="subscript"/>
      </rPr>
      <t>o</t>
    </r>
    <r>
      <rPr>
        <rFont val="Times New Roman"/>
        <b/>
        <color rgb="FF0000FF"/>
        <sz val="11.0"/>
      </rPr>
      <t xml:space="preserve"> will appear in cell C17 and cell H72 should equal zero</t>
    </r>
  </si>
  <si>
    <r>
      <rPr>
        <rFont val="Calibri"/>
        <b/>
        <color rgb="FF000000"/>
        <sz val="11.0"/>
      </rPr>
      <t xml:space="preserve">  Required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 = 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*(Prim Effl TKN - Effl N0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- Effl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-N)</t>
    </r>
  </si>
  <si>
    <r>
      <rPr>
        <rFont val="Times New Roman"/>
        <b/>
        <color rgb="FF0000FF"/>
        <sz val="11.0"/>
      </rPr>
      <t>if the process worked properly.  Note that an initial estimate of Q</t>
    </r>
    <r>
      <rPr>
        <rFont val="Times New Roman"/>
        <b/>
        <color rgb="FF0000FF"/>
        <sz val="11.0"/>
        <vertAlign val="subscript"/>
      </rPr>
      <t>R</t>
    </r>
    <r>
      <rPr>
        <rFont val="Times New Roman"/>
        <b/>
        <color rgb="FF0000FF"/>
        <sz val="11.0"/>
      </rPr>
      <t>/Q</t>
    </r>
    <r>
      <rPr>
        <rFont val="Times New Roman"/>
        <b/>
        <color rgb="FF0000FF"/>
        <sz val="11.0"/>
        <vertAlign val="subscript"/>
      </rPr>
      <t>o</t>
    </r>
    <r>
      <rPr>
        <rFont val="Times New Roman"/>
        <b/>
        <color rgb="FF0000FF"/>
        <sz val="11.0"/>
      </rPr>
      <t xml:space="preserve"> is needed in cell C17 to start</t>
    </r>
  </si>
  <si>
    <r>
      <rPr>
        <rFont val="Calibri"/>
        <b/>
        <color rgb="FF000000"/>
        <sz val="11.0"/>
      </rPr>
      <t xml:space="preserve">  Estimated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 = SARR*Carrier Surf Area</t>
    </r>
  </si>
  <si>
    <t xml:space="preserve">the iterative process. </t>
  </si>
  <si>
    <t>2. Second Stage (BOD Removal) Calculations</t>
  </si>
  <si>
    <t xml:space="preserve">       Est. of Effl BOD Conc.:</t>
  </si>
  <si>
    <t xml:space="preserve">    Equations used for Tank Sizing - BOD Removal Stage</t>
  </si>
  <si>
    <t xml:space="preserve"> (for second stage)</t>
  </si>
  <si>
    <t xml:space="preserve">  BOD Daily Loading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</si>
  <si>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</si>
  <si>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b/>
        <color rgb="FF000000"/>
        <sz val="11.0"/>
      </rPr>
      <t xml:space="preserve">   BOD Daily Loading = (Q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*S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) + (Qo*Recycle Rato*Se) - (0.67*(20/7)*NO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rate)</t>
    </r>
  </si>
  <si>
    <t xml:space="preserve">  Carrier Surf. Area needed = BOD Daily Loading/SALR_BOD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</si>
  <si>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</si>
  <si>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 xml:space="preserve">  Carrier Volume needed,  Required Tank Volume, and Tank dimensions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</si>
  <si>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</si>
  <si>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   use the same equations shown above.</t>
  </si>
  <si>
    <t xml:space="preserve">        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</si>
  <si>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</si>
  <si>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Design Average Flow =</t>
  </si>
  <si>
    <t xml:space="preserve">       Peak Hourly Flow =</t>
  </si>
  <si>
    <t xml:space="preserve">  Tank Liquid Volume, Nominal HRTs, and Estimated SARR are</t>
  </si>
  <si>
    <t xml:space="preserve">  Estimate of BOD Surface Area</t>
  </si>
  <si>
    <t xml:space="preserve">          Calculated Effl BOD Conc.:</t>
  </si>
  <si>
    <t xml:space="preserve">          calculated as shown above.</t>
  </si>
  <si>
    <r>
      <rPr>
        <rFont val="Arial"/>
        <color theme="1"/>
        <sz val="10.0"/>
      </rPr>
      <t xml:space="preserve">       Removal Rate, </t>
    </r>
    <r>
      <rPr>
        <rFont val="Arial"/>
        <b/>
        <color theme="1"/>
        <sz val="10.0"/>
      </rPr>
      <t>SARR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</si>
  <si>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</si>
  <si>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b/>
        <color rgb="FF7030A0"/>
        <sz val="10.0"/>
      </rPr>
      <t xml:space="preserve">  If the calculated Effl. BOD</t>
    </r>
    <r>
      <rPr>
        <rFont val="Arial"/>
        <b/>
        <color rgb="FF800080"/>
        <sz val="10.0"/>
      </rPr>
      <t xml:space="preserve"> conc. Is</t>
    </r>
    <r>
      <rPr>
        <rFont val="Arial"/>
        <b/>
        <color rgb="FF7030A0"/>
        <sz val="10.0"/>
      </rPr>
      <t xml:space="preserve"> too high, the</t>
    </r>
  </si>
  <si>
    <t xml:space="preserve">  Estimated BOD Removal Rate = SARR*Carrier Surf Area</t>
  </si>
  <si>
    <t xml:space="preserve">    Est. of BOD Removal Rate:</t>
  </si>
  <si>
    <t xml:space="preserve">   design value of SALR (in cell C28) should be reduced.</t>
  </si>
  <si>
    <r>
      <rPr>
        <rFont val="Calibri"/>
        <b/>
        <color rgb="FF000000"/>
        <sz val="11.0"/>
      </rPr>
      <t xml:space="preserve">  Calculated Eff. BOD Conc. =  (BOD Daily Loading - BOD Removal Rate)/Q</t>
    </r>
    <r>
      <rPr>
        <rFont val="Calibri"/>
        <b/>
        <color rgb="FF000000"/>
        <sz val="11.0"/>
        <vertAlign val="subscript"/>
      </rPr>
      <t>o</t>
    </r>
  </si>
  <si>
    <t xml:space="preserve">          Estimated - Calculated Effl BOD Conc. =</t>
  </si>
  <si>
    <r>
      <rPr>
        <rFont val="Times New Roman"/>
        <b/>
        <color rgb="FF0000FF"/>
        <sz val="11.0"/>
      </rPr>
      <t>NOTE:  Use Excel's "Goal Seek" to find BOD</t>
    </r>
    <r>
      <rPr>
        <rFont val="Times New Roman"/>
        <b/>
        <color rgb="FF0000FF"/>
        <sz val="11.0"/>
        <vertAlign val="subscript"/>
      </rPr>
      <t>e</t>
    </r>
    <r>
      <rPr>
        <rFont val="Times New Roman"/>
        <b/>
        <color rgb="FF0000FF"/>
        <sz val="11.0"/>
      </rPr>
      <t xml:space="preserve"> as follows:  Place the cursor on cell H93 and click on</t>
    </r>
  </si>
  <si>
    <t xml:space="preserve">    Equations used for Tank Sizing - Nitrification Stage</t>
  </si>
  <si>
    <t>versions of Excel).  Enter values to "Set cell:"  H93, "To value:"  0, "By changing cell:" H82, and</t>
  </si>
  <si>
    <r>
      <rPr>
        <rFont val="Times New Roman"/>
        <b/>
        <color rgb="FF0000FF"/>
        <sz val="11.0"/>
      </rPr>
      <t>click on "OK".  The calculated value of BOD</t>
    </r>
    <r>
      <rPr>
        <rFont val="Times New Roman"/>
        <b/>
        <color rgb="FF0000FF"/>
        <sz val="11.0"/>
        <vertAlign val="subscript"/>
      </rPr>
      <t>e</t>
    </r>
    <r>
      <rPr>
        <rFont val="Times New Roman"/>
        <b/>
        <color rgb="FF0000FF"/>
        <sz val="11.0"/>
      </rPr>
      <t xml:space="preserve"> will appear in cell H82 and cell H93 should equal zero</t>
    </r>
  </si>
  <si>
    <r>
      <rPr>
        <rFont val="Calibri"/>
        <b/>
        <color theme="1"/>
        <sz val="11.0"/>
      </rPr>
      <t xml:space="preserve">   NH</t>
    </r>
    <r>
      <rPr>
        <rFont val="Calibri"/>
        <b/>
        <color theme="1"/>
        <sz val="11.0"/>
        <vertAlign val="subscript"/>
      </rPr>
      <t>3</t>
    </r>
    <r>
      <rPr>
        <rFont val="Calibri"/>
        <b/>
        <color theme="1"/>
        <sz val="11.0"/>
      </rPr>
      <t>-N Daily Loading = Q</t>
    </r>
    <r>
      <rPr>
        <rFont val="Calibri"/>
        <b/>
        <color theme="1"/>
        <sz val="11.0"/>
        <vertAlign val="subscript"/>
      </rPr>
      <t>o</t>
    </r>
    <r>
      <rPr>
        <rFont val="Calibri"/>
        <b/>
        <color theme="1"/>
        <sz val="11.0"/>
      </rPr>
      <t>*Prim Effl NH</t>
    </r>
    <r>
      <rPr>
        <rFont val="Calibri"/>
        <b/>
        <color theme="1"/>
        <sz val="11.0"/>
        <vertAlign val="subscript"/>
      </rPr>
      <t>3</t>
    </r>
    <r>
      <rPr>
        <rFont val="Calibri"/>
        <b/>
        <color theme="1"/>
        <sz val="11.0"/>
      </rPr>
      <t>-N</t>
    </r>
    <r>
      <rPr>
        <rFont val="Calibri"/>
        <b/>
        <color theme="1"/>
        <sz val="11.0"/>
      </rPr>
      <t xml:space="preserve"> + Q</t>
    </r>
    <r>
      <rPr>
        <rFont val="Calibri"/>
        <b/>
        <color theme="1"/>
        <sz val="11.0"/>
        <vertAlign val="subscript"/>
      </rPr>
      <t>o</t>
    </r>
    <r>
      <rPr>
        <rFont val="Calibri"/>
        <b/>
        <color theme="1"/>
        <sz val="11.0"/>
      </rPr>
      <t>*Recycle Ratio*Effl NH3-N</t>
    </r>
  </si>
  <si>
    <r>
      <rPr>
        <rFont val="Times New Roman"/>
        <b/>
        <color rgb="FF0000FF"/>
        <sz val="11.0"/>
      </rPr>
      <t>if the process worked properly.  Note that an initial estimate of BOD</t>
    </r>
    <r>
      <rPr>
        <rFont val="Times New Roman"/>
        <b/>
        <color rgb="FF0000FF"/>
        <sz val="11.0"/>
        <vertAlign val="subscript"/>
      </rPr>
      <t>e</t>
    </r>
    <r>
      <rPr>
        <rFont val="Times New Roman"/>
        <b/>
        <color rgb="FF0000FF"/>
        <sz val="11.0"/>
      </rPr>
      <t xml:space="preserve"> is needed in cell H82 to start</t>
    </r>
  </si>
  <si>
    <r>
      <rPr>
        <rFont val="Calibri"/>
        <b/>
        <color rgb="FF000000"/>
        <sz val="11.0"/>
      </rPr>
      <t xml:space="preserve">  Carrier Surf. Area needed =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Loading/SALR_NH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</t>
    </r>
  </si>
  <si>
    <t xml:space="preserve">           1st stage tank volume - 2nd stage tank volume =</t>
  </si>
  <si>
    <t>To make the 2nd stage tank volume the same as the first stage tank volume, use</t>
  </si>
  <si>
    <t>Excel's Goal Seek process to set cell F101 equal to zero by changing the value in cell C83.</t>
  </si>
  <si>
    <t>3. Third Stage (Nitrification) Calculations</t>
  </si>
  <si>
    <r>
      <rPr>
        <rFont val="Calibri"/>
        <b/>
        <color rgb="FF000000"/>
        <sz val="11.0"/>
      </rPr>
      <t xml:space="preserve">  Estimated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 = SARR*Carrier Surf Area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</si>
  <si>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</si>
  <si>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b/>
        <color rgb="FF000000"/>
        <sz val="11.0"/>
      </rPr>
      <t xml:space="preserve">  Calculated Eff.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Conc. =  (NH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 -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Rate)/Q</t>
    </r>
    <r>
      <rPr>
        <rFont val="Calibri"/>
        <b/>
        <color rgb="FF000000"/>
        <sz val="11.0"/>
        <vertAlign val="subscript"/>
      </rPr>
      <t>o</t>
    </r>
  </si>
  <si>
    <t xml:space="preserve"> (for third stage)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</si>
  <si>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</si>
  <si>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 xml:space="preserve"> 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Daily Loading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</si>
  <si>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</si>
  <si>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>Rules of Thumb for Estimating Oxygen/Air Requirements - Coarse Bubble Diffusers: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</si>
  <si>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</si>
  <si>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Source: </t>
  </si>
  <si>
    <r>
      <rPr>
        <rFont val="Arial"/>
        <color theme="1"/>
        <sz val="10.0"/>
      </rPr>
      <t xml:space="preserve">  Estimate of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Surface Area</t>
    </r>
  </si>
  <si>
    <t>http://www.xylemwatersolutions.com/scs/sweden/sv-se/produkter/cirkulationspumpar/documents/san3.pdf</t>
  </si>
  <si>
    <t>1.  The typical AOR/SOR  (or AOTE/SOTE) is 0.50 for a coarse bubble aertion system.</t>
  </si>
  <si>
    <t xml:space="preserve">1st stage tank volume - </t>
  </si>
  <si>
    <t xml:space="preserve">  (or 0.33 for a fine bubble aeration system)</t>
  </si>
  <si>
    <t xml:space="preserve">     3rd stage tank volume =</t>
  </si>
  <si>
    <t>2.  The typical SOTE is 2.5% per meter of diffuser submergence for a coarse bubble system</t>
  </si>
  <si>
    <t>To make the 3rd stage tank volume the same as the first</t>
  </si>
  <si>
    <r>
      <rPr>
        <rFont val="Arial"/>
        <color theme="1"/>
        <sz val="10.0"/>
      </rPr>
      <t xml:space="preserve">    Check on BOD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>: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</si>
  <si>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</si>
  <si>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>(or 6.6 % per meter of diffuser submergence for a fine bubble system)</t>
  </si>
  <si>
    <t>stage tank volume, use Excel's Goal Seek process to set</t>
  </si>
  <si>
    <r>
      <rPr>
        <rFont val="Arial"/>
        <color theme="1"/>
        <sz val="10.0"/>
      </rPr>
      <t xml:space="preserve">  (BOD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 xml:space="preserve"> should be &lt; 0.5 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 in order</t>
    </r>
  </si>
  <si>
    <r>
      <rPr>
        <rFont val="Arial"/>
        <color theme="1"/>
        <sz val="10.0"/>
      </rPr>
      <t>3.  Air weighs 1.275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(at 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 and 1 bar) and contains 23% oxygen by weight, thus:</t>
    </r>
  </si>
  <si>
    <t>cell C108 to zero by changing the value in cell C100.</t>
  </si>
  <si>
    <t xml:space="preserve">     to achieve a good nitrification rate)</t>
  </si>
  <si>
    <t>V. Calculation of Oxygen/Air/Blower Requirements - BOD Removal Stage</t>
  </si>
  <si>
    <r>
      <rPr>
        <rFont val="Arial"/>
        <color theme="1"/>
        <sz val="10.0"/>
      </rPr>
      <t xml:space="preserve">4.  Air contains </t>
    </r>
    <r>
      <rPr>
        <rFont val="Arial"/>
        <color theme="1"/>
        <sz val="10.0"/>
      </rPr>
      <t>0.293 kg of oxygen/m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.</t>
    </r>
  </si>
  <si>
    <r>
      <rPr>
        <rFont val="Arial"/>
        <b/>
        <color theme="1"/>
        <sz val="11.0"/>
        <u/>
      </rPr>
      <t>1. Inputs:</t>
    </r>
    <r>
      <rPr>
        <rFont val="Arial"/>
        <b/>
        <color theme="1"/>
        <sz val="10.0"/>
        <u/>
      </rPr>
      <t xml:space="preserve">  (Values of "Rule of Thumb" Constants to be used in Calculations - See notes at right)</t>
    </r>
  </si>
  <si>
    <t>5. For biological treatment with SRT from 5 to 10 days, kg oxygen required /kg BOD removed</t>
  </si>
  <si>
    <r>
      <t xml:space="preserve">      is typically in the range from 0.92 - 1.1 kg O</t>
    </r>
    <r>
      <rPr>
        <rFont val="Arial"/>
        <sz val="10.0"/>
        <vertAlign val="subscript"/>
      </rPr>
      <t>2</t>
    </r>
    <r>
      <rPr>
        <rFont val="Arial"/>
        <sz val="10.0"/>
      </rPr>
      <t>/kg BOD.  Higher SRT results in a higher value</t>
    </r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</si>
  <si>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lb BOD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</si>
  <si>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</t>
    </r>
  </si>
  <si>
    <t xml:space="preserve">   Depth of Diffusers =</t>
  </si>
  <si>
    <r>
      <rPr>
        <rFont val="Arial"/>
        <color theme="1"/>
      </rPr>
      <t xml:space="preserve">      of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required/kg BOD removed.  (For a very high SRT, as is typical for an MBBR process,</t>
    </r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</si>
  <si>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lb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</si>
  <si>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</t>
    </r>
  </si>
  <si>
    <t xml:space="preserve">    Normal Temperature =</t>
  </si>
  <si>
    <r>
      <rPr>
        <rFont val="Arial"/>
        <color theme="1"/>
        <sz val="10.0"/>
      </rPr>
      <t>o</t>
    </r>
    <r>
      <rPr>
        <rFont val="Arial"/>
        <color theme="1"/>
        <sz val="10.0"/>
      </rPr>
      <t>C</t>
    </r>
  </si>
  <si>
    <r>
      <rPr>
        <rFont val="Arial"/>
        <color theme="1"/>
      </rPr>
      <t xml:space="preserve">      this value would be about 1.5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 removed.)</t>
    </r>
  </si>
  <si>
    <t>SOTE as Function of Depth =</t>
  </si>
  <si>
    <t xml:space="preserve"> % per m depth</t>
  </si>
  <si>
    <t xml:space="preserve">         Normal Pressure =</t>
  </si>
  <si>
    <t>bar</t>
  </si>
  <si>
    <t xml:space="preserve">        AOTE/SOTE   =</t>
  </si>
  <si>
    <t xml:space="preserve">  Atmospheric Pressure =</t>
  </si>
  <si>
    <t>6.  The oxidation of 1 kg of ammonia nitrogen typically requires 4.1 to 4.6 kg of oxygen.</t>
  </si>
  <si>
    <t>Press. Drop across Diffuser =</t>
  </si>
  <si>
    <t xml:space="preserve">      Air Density at STP  =</t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</si>
  <si>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</si>
  <si>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    (from mfr/vendor)</t>
  </si>
  <si>
    <r>
      <rPr>
        <rFont val="Arial"/>
        <color theme="1"/>
      </rPr>
      <t xml:space="preserve">       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Content in Air =</t>
    </r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</si>
  <si>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</si>
  <si>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2. Second Stage (BOD Removal) Calculations:</t>
  </si>
  <si>
    <t xml:space="preserve">  Oxygen Requirement =</t>
  </si>
  <si>
    <t>kg/day</t>
  </si>
  <si>
    <t xml:space="preserve">    AOTE =</t>
  </si>
  <si>
    <t xml:space="preserve">    Equations used for Oxygen/Air/Blower Calculations</t>
  </si>
  <si>
    <t xml:space="preserve">    SOTE =</t>
  </si>
  <si>
    <t xml:space="preserve">        Air Requirement =</t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</si>
  <si>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</si>
  <si>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t xml:space="preserve">  Blower Outlet Pressure =</t>
  </si>
  <si>
    <t xml:space="preserve">  bar absolute</t>
  </si>
  <si>
    <r>
      <rPr>
        <rFont val="Calibri"/>
        <b/>
        <color theme="1"/>
        <sz val="11.0"/>
      </rPr>
      <t xml:space="preserve">   Oxygen Requirement (kg/day)</t>
    </r>
    <r>
      <rPr>
        <rFont val="Calibri"/>
        <b/>
        <color theme="1"/>
        <sz val="11.0"/>
      </rPr>
      <t xml:space="preserve"> = Q</t>
    </r>
    <r>
      <rPr>
        <rFont val="Calibri"/>
        <b/>
        <color theme="1"/>
        <sz val="11.0"/>
        <vertAlign val="subscript"/>
      </rPr>
      <t>o</t>
    </r>
    <r>
      <rPr>
        <rFont val="Calibri"/>
        <b/>
        <color theme="1"/>
        <sz val="11.0"/>
      </rPr>
      <t>(4.57(NH</t>
    </r>
    <r>
      <rPr>
        <rFont val="Calibri"/>
        <b/>
        <color theme="1"/>
        <sz val="11.0"/>
        <vertAlign val="subscript"/>
      </rPr>
      <t>4</t>
    </r>
    <r>
      <rPr>
        <rFont val="Calibri"/>
        <b/>
        <color theme="1"/>
        <sz val="11.0"/>
      </rPr>
      <t>-N</t>
    </r>
    <r>
      <rPr>
        <rFont val="Calibri"/>
        <b/>
        <color theme="1"/>
        <sz val="11.0"/>
        <vertAlign val="subscript"/>
      </rPr>
      <t>o</t>
    </r>
    <r>
      <rPr>
        <rFont val="Calibri"/>
        <b/>
        <color theme="1"/>
        <sz val="11.0"/>
      </rPr>
      <t xml:space="preserve"> - NH</t>
    </r>
    <r>
      <rPr>
        <rFont val="Calibri"/>
        <b/>
        <color theme="1"/>
        <sz val="11.0"/>
        <vertAlign val="subscript"/>
      </rPr>
      <t>4</t>
    </r>
    <r>
      <rPr>
        <rFont val="Calibri"/>
        <b/>
        <color theme="1"/>
        <sz val="11.0"/>
      </rPr>
      <t>-N</t>
    </r>
    <r>
      <rPr>
        <rFont val="Calibri"/>
        <b/>
        <color theme="1"/>
        <sz val="11.0"/>
        <vertAlign val="subscript"/>
      </rPr>
      <t>e</t>
    </r>
    <r>
      <rPr>
        <rFont val="Calibri"/>
        <b/>
        <color theme="1"/>
        <sz val="11.0"/>
      </rPr>
      <t>)/(1000 g/kg)</t>
    </r>
  </si>
  <si>
    <t>VI. Calculation of Oxygen/Air/Blower Requirements - Nitrification Stage</t>
  </si>
  <si>
    <r>
      <rPr>
        <rFont val="Calibri"/>
        <b/>
        <color theme="1"/>
        <sz val="11.0"/>
      </rPr>
      <t xml:space="preserve">   Pressure at Mid-Depth</t>
    </r>
    <r>
      <rPr>
        <rFont val="Calibri"/>
        <b/>
        <color theme="1"/>
        <sz val="11.0"/>
      </rPr>
      <t xml:space="preserve"> = P</t>
    </r>
    <r>
      <rPr>
        <rFont val="Calibri"/>
        <b/>
        <color theme="1"/>
        <sz val="11.0"/>
        <vertAlign val="subscript"/>
      </rPr>
      <t>atm</t>
    </r>
    <r>
      <rPr>
        <rFont val="Calibri"/>
        <b/>
        <color theme="1"/>
        <sz val="11.0"/>
      </rPr>
      <t>(100 kPa/bar)  +  [</t>
    </r>
    <r>
      <rPr>
        <rFont val="Symbol"/>
        <b/>
        <color theme="1"/>
        <sz val="11.0"/>
      </rPr>
      <t>g</t>
    </r>
    <r>
      <rPr>
        <rFont val="Calibri"/>
        <b/>
        <color theme="1"/>
        <sz val="11.0"/>
        <vertAlign val="subscript"/>
      </rPr>
      <t>4H2O(</t>
    </r>
    <r>
      <rPr>
        <rFont val="Calibri"/>
        <b/>
        <color theme="1"/>
        <sz val="11.0"/>
      </rPr>
      <t>d</t>
    </r>
    <r>
      <rPr>
        <rFont val="Calibri"/>
        <b/>
        <color theme="1"/>
        <sz val="11.0"/>
        <vertAlign val="subscript"/>
      </rPr>
      <t>diff</t>
    </r>
    <r>
      <rPr>
        <rFont val="Calibri"/>
        <b/>
        <color theme="1"/>
        <sz val="11.0"/>
      </rPr>
      <t>/2)]</t>
    </r>
  </si>
  <si>
    <r>
      <rPr>
        <rFont val="Calibri"/>
        <b/>
        <color theme="1"/>
        <sz val="11.0"/>
      </rPr>
      <t xml:space="preserve">  AOTE = SOTE*</t>
    </r>
    <r>
      <rPr>
        <rFont val="Symbol"/>
        <b/>
        <color theme="1"/>
        <sz val="11.0"/>
      </rPr>
      <t>a</t>
    </r>
    <r>
      <rPr>
        <rFont val="Calibri"/>
        <b/>
        <color theme="1"/>
        <sz val="11.0"/>
      </rPr>
      <t>*F[(B(P</t>
    </r>
    <r>
      <rPr>
        <rFont val="Calibri"/>
        <b/>
        <color theme="1"/>
        <sz val="11.0"/>
        <vertAlign val="subscript"/>
      </rPr>
      <t>D</t>
    </r>
    <r>
      <rPr>
        <rFont val="Calibri"/>
        <b/>
        <color theme="1"/>
        <sz val="11.0"/>
      </rPr>
      <t>/P</t>
    </r>
    <r>
      <rPr>
        <rFont val="Calibri"/>
        <b/>
        <color theme="1"/>
        <sz val="11.0"/>
        <vertAlign val="subscript"/>
      </rPr>
      <t>std</t>
    </r>
    <r>
      <rPr>
        <rFont val="Calibri"/>
        <b/>
        <color theme="1"/>
        <sz val="11.0"/>
      </rPr>
      <t>)C</t>
    </r>
    <r>
      <rPr>
        <rFont val="Calibri"/>
        <b/>
        <color theme="1"/>
        <sz val="11.0"/>
        <vertAlign val="subscript"/>
      </rPr>
      <t>s</t>
    </r>
    <r>
      <rPr>
        <rFont val="Calibri"/>
        <b/>
        <color theme="1"/>
        <sz val="11.0"/>
      </rPr>
      <t xml:space="preserve"> - D.O.)/C</t>
    </r>
    <r>
      <rPr>
        <rFont val="Calibri"/>
        <b/>
        <color theme="1"/>
        <sz val="11.0"/>
        <vertAlign val="subscript"/>
      </rPr>
      <t>ss</t>
    </r>
    <r>
      <rPr>
        <rFont val="Calibri"/>
        <b/>
        <color theme="1"/>
        <sz val="11.0"/>
      </rPr>
      <t>]</t>
    </r>
    <r>
      <rPr>
        <rFont val="Symbol"/>
        <b/>
        <color theme="1"/>
        <sz val="11.0"/>
      </rPr>
      <t>q</t>
    </r>
    <r>
      <rPr>
        <rFont val="Calibri"/>
        <b/>
        <color theme="1"/>
        <sz val="11.0"/>
        <vertAlign val="superscript"/>
      </rPr>
      <t>(tww - 20)</t>
    </r>
  </si>
  <si>
    <t>Inputs:</t>
  </si>
  <si>
    <r>
      <rPr>
        <rFont val="Arial"/>
        <color theme="1"/>
        <sz val="10.0"/>
      </rPr>
      <t>Std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transf effic, </t>
    </r>
    <r>
      <rPr>
        <rFont val="Arial"/>
        <b/>
        <color theme="1"/>
        <sz val="11.0"/>
      </rPr>
      <t>SOTE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</si>
  <si>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Des. Barom. Press.,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atm</t>
    </r>
    <r>
      <rPr>
        <rFont val="Arial"/>
        <color theme="1"/>
        <sz val="10.0"/>
      </rPr>
      <t xml:space="preserve"> =</t>
    </r>
  </si>
  <si>
    <t xml:space="preserve">  (from diffuser mfr or vendor)</t>
  </si>
  <si>
    <t xml:space="preserve">  (ambient pressue at site)</t>
  </si>
  <si>
    <r>
      <rPr>
        <rFont val="Calibri"/>
        <color theme="1"/>
        <sz val="11.0"/>
      </rPr>
      <t xml:space="preserve">  </t>
    </r>
    <r>
      <rPr>
        <rFont val="Calibri"/>
        <b/>
        <color theme="1"/>
        <sz val="11.0"/>
      </rPr>
      <t>Nm</t>
    </r>
    <r>
      <rPr>
        <rFont val="Calibri"/>
        <b/>
        <color theme="1"/>
        <sz val="11.0"/>
        <vertAlign val="superscript"/>
      </rPr>
      <t>3</t>
    </r>
    <r>
      <rPr>
        <rFont val="Calibri"/>
        <b/>
        <color theme="1"/>
        <sz val="11.0"/>
      </rPr>
      <t>/hr</t>
    </r>
    <r>
      <rPr>
        <rFont val="Calibri"/>
        <b/>
        <color theme="1"/>
        <sz val="11.0"/>
      </rPr>
      <t xml:space="preserve"> =</t>
    </r>
    <r>
      <rPr>
        <rFont val="Calibri"/>
        <b/>
        <color theme="1"/>
        <sz val="11.0"/>
      </rPr>
      <t xml:space="preserve"> (kg/day O</t>
    </r>
    <r>
      <rPr>
        <rFont val="Calibri"/>
        <b/>
        <color theme="1"/>
        <sz val="11.0"/>
        <vertAlign val="subscript"/>
      </rPr>
      <t>2</t>
    </r>
    <r>
      <rPr>
        <rFont val="Calibri"/>
        <b/>
        <color theme="1"/>
        <sz val="11.0"/>
      </rPr>
      <t>/AOTE)*MW</t>
    </r>
    <r>
      <rPr>
        <rFont val="Calibri"/>
        <b/>
        <color theme="1"/>
        <sz val="11.0"/>
        <vertAlign val="subscript"/>
      </rPr>
      <t>air</t>
    </r>
    <r>
      <rPr>
        <rFont val="Calibri"/>
        <b/>
        <color theme="1"/>
        <sz val="11.0"/>
      </rPr>
      <t>/[O</t>
    </r>
    <r>
      <rPr>
        <rFont val="Calibri"/>
        <b/>
        <color theme="1"/>
        <sz val="11.0"/>
        <vertAlign val="subscript"/>
      </rPr>
      <t>2</t>
    </r>
    <r>
      <rPr>
        <rFont val="Calibri"/>
        <b/>
        <color theme="1"/>
        <sz val="11.0"/>
      </rPr>
      <t xml:space="preserve"> fract in air)(MW</t>
    </r>
    <r>
      <rPr>
        <rFont val="Calibri"/>
        <b/>
        <color theme="1"/>
        <sz val="11.0"/>
        <vertAlign val="subscript"/>
      </rPr>
      <t>O2</t>
    </r>
    <r>
      <rPr>
        <rFont val="Calibri"/>
        <b/>
        <color theme="1"/>
        <sz val="11.0"/>
      </rPr>
      <t>)(</t>
    </r>
    <r>
      <rPr>
        <rFont val="Symbol"/>
        <b/>
        <color theme="1"/>
        <sz val="11.0"/>
      </rPr>
      <t>r</t>
    </r>
    <r>
      <rPr>
        <rFont val="Calibri"/>
        <b/>
        <color theme="1"/>
        <sz val="11.0"/>
        <vertAlign val="subscript"/>
      </rPr>
      <t>air</t>
    </r>
    <r>
      <rPr>
        <rFont val="Calibri"/>
        <b/>
        <color theme="1"/>
        <sz val="11.0"/>
      </rPr>
      <t>)(24 hr/day)]</t>
    </r>
  </si>
  <si>
    <r>
      <rPr>
        <rFont val="Arial"/>
        <color theme="1"/>
        <sz val="10.0"/>
      </rPr>
      <t xml:space="preserve">Diffuser Fouling Factor, </t>
    </r>
    <r>
      <rPr>
        <rFont val="Arial"/>
        <b/>
        <color theme="1"/>
        <sz val="11.0"/>
      </rPr>
      <t>F</t>
    </r>
    <r>
      <rPr>
        <rFont val="Arial"/>
        <color theme="1"/>
        <sz val="10.0"/>
      </rPr>
      <t xml:space="preserve"> =</t>
    </r>
  </si>
  <si>
    <t>Ratio of D.O. saturation in WW to that in clean</t>
  </si>
  <si>
    <t>Ratio of oxygen transfer rate in wastewater</t>
  </si>
  <si>
    <r>
      <rPr>
        <rFont val="Arial"/>
        <color theme="1"/>
        <sz val="10.0"/>
      </rPr>
      <t xml:space="preserve">  water at same T &amp; P, </t>
    </r>
    <r>
      <rPr>
        <rFont val="Arial"/>
        <b/>
        <color theme="1"/>
        <sz val="11.0"/>
      </rPr>
      <t>B</t>
    </r>
    <r>
      <rPr>
        <rFont val="Arial"/>
        <color theme="1"/>
        <sz val="10.0"/>
      </rPr>
      <t xml:space="preserve"> =</t>
    </r>
  </si>
  <si>
    <r>
      <rPr>
        <rFont val="Calibri"/>
        <color theme="1"/>
        <sz val="11.0"/>
      </rPr>
      <t xml:space="preserve">  </t>
    </r>
    <r>
      <rPr>
        <rFont val="Calibri"/>
        <b/>
        <color theme="1"/>
        <sz val="11.0"/>
      </rPr>
      <t>m</t>
    </r>
    <r>
      <rPr>
        <rFont val="Calibri"/>
        <b/>
        <color theme="1"/>
        <sz val="11.0"/>
        <vertAlign val="superscript"/>
      </rPr>
      <t>3</t>
    </r>
    <r>
      <rPr>
        <rFont val="Calibri"/>
        <b/>
        <color theme="1"/>
        <sz val="11.0"/>
      </rPr>
      <t>/hr = Nm</t>
    </r>
    <r>
      <rPr>
        <rFont val="Calibri"/>
        <b/>
        <color theme="1"/>
        <sz val="11.0"/>
        <vertAlign val="superscript"/>
      </rPr>
      <t>3</t>
    </r>
    <r>
      <rPr>
        <rFont val="Calibri"/>
        <b/>
        <color theme="1"/>
        <sz val="11.0"/>
      </rPr>
      <t>/hr[(T</t>
    </r>
    <r>
      <rPr>
        <rFont val="Calibri"/>
        <b/>
        <color theme="1"/>
        <sz val="11.0"/>
        <vertAlign val="subscript"/>
      </rPr>
      <t>ww</t>
    </r>
    <r>
      <rPr>
        <rFont val="Calibri"/>
        <b/>
        <color theme="1"/>
        <sz val="11.0"/>
      </rPr>
      <t xml:space="preserve"> + 273.15)/(T</t>
    </r>
    <r>
      <rPr>
        <rFont val="Calibri"/>
        <b/>
        <color theme="1"/>
        <sz val="11.0"/>
        <vertAlign val="subscript"/>
      </rPr>
      <t>norm</t>
    </r>
    <r>
      <rPr>
        <rFont val="Calibri"/>
        <b/>
        <color theme="1"/>
        <sz val="11.0"/>
      </rPr>
      <t xml:space="preserve"> + 273.15)](P</t>
    </r>
    <r>
      <rPr>
        <rFont val="Calibri"/>
        <b/>
        <color theme="1"/>
        <sz val="11.0"/>
        <vertAlign val="subscript"/>
      </rPr>
      <t>norm</t>
    </r>
    <r>
      <rPr>
        <rFont val="Calibri"/>
        <b/>
        <color theme="1"/>
        <sz val="11.0"/>
      </rPr>
      <t>/P</t>
    </r>
    <r>
      <rPr>
        <rFont val="Calibri"/>
        <b/>
        <color theme="1"/>
        <sz val="11.0"/>
        <vertAlign val="subscript"/>
      </rPr>
      <t>B2</t>
    </r>
    <r>
      <rPr>
        <rFont val="Calibri"/>
        <b/>
        <color theme="1"/>
        <sz val="11.0"/>
      </rPr>
      <t>)</t>
    </r>
  </si>
  <si>
    <r>
      <rPr>
        <rFont val="Arial"/>
        <color theme="1"/>
        <sz val="10.0"/>
      </rPr>
      <t xml:space="preserve">  to that in clean water, </t>
    </r>
    <r>
      <rPr>
        <rFont val="Symbol"/>
        <b/>
        <color theme="1"/>
        <sz val="11.0"/>
      </rPr>
      <t>a</t>
    </r>
    <r>
      <rPr>
        <rFont val="Arial"/>
        <color theme="1"/>
        <sz val="10.0"/>
      </rPr>
      <t xml:space="preserve"> =</t>
    </r>
  </si>
  <si>
    <t>Pressure drop across</t>
  </si>
  <si>
    <r>
      <rPr>
        <rFont val="Arial"/>
        <color theme="1"/>
        <sz val="10.0"/>
      </rPr>
      <t xml:space="preserve">   Depth of diffuser, </t>
    </r>
    <r>
      <rPr>
        <rFont val="Arial"/>
        <b/>
        <color theme="1"/>
        <sz val="11.0"/>
      </rPr>
      <t>d</t>
    </r>
    <r>
      <rPr>
        <rFont val="Arial"/>
        <b/>
        <color theme="1"/>
        <sz val="11.0"/>
        <vertAlign val="subscript"/>
      </rPr>
      <t>diff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</si>
  <si>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t xml:space="preserve">   m</t>
  </si>
  <si>
    <r>
      <rPr>
        <rFont val="Arial"/>
        <color theme="1"/>
        <sz val="10.0"/>
      </rPr>
      <t xml:space="preserve">              diffuser,</t>
    </r>
    <r>
      <rPr>
        <rFont val="Arial"/>
        <b/>
        <color theme="1"/>
        <sz val="11.0"/>
      </rPr>
      <t xml:space="preserve"> </t>
    </r>
    <r>
      <rPr>
        <rFont val="Symbol"/>
        <b/>
        <color theme="1"/>
        <sz val="11.0"/>
      </rPr>
      <t>D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diff</t>
    </r>
    <r>
      <rPr>
        <rFont val="Arial"/>
        <color theme="1"/>
        <sz val="10.0"/>
      </rPr>
      <t xml:space="preserve"> =</t>
    </r>
  </si>
  <si>
    <r>
      <rPr>
        <rFont val="Calibri"/>
        <color theme="1"/>
        <sz val="11.0"/>
      </rPr>
      <t xml:space="preserve">  </t>
    </r>
    <r>
      <rPr>
        <rFont val="Calibri"/>
        <b/>
        <color theme="1"/>
        <sz val="11.0"/>
      </rPr>
      <t>P</t>
    </r>
    <r>
      <rPr>
        <rFont val="Calibri"/>
        <b/>
        <color theme="1"/>
        <sz val="11.0"/>
        <vertAlign val="subscript"/>
      </rPr>
      <t>B2</t>
    </r>
    <r>
      <rPr>
        <rFont val="Calibri"/>
        <b/>
        <color theme="1"/>
        <sz val="11.0"/>
      </rPr>
      <t xml:space="preserve"> = P</t>
    </r>
    <r>
      <rPr>
        <rFont val="Calibri"/>
        <b/>
        <color theme="1"/>
        <sz val="11.0"/>
        <vertAlign val="subscript"/>
      </rPr>
      <t>atm</t>
    </r>
    <r>
      <rPr>
        <rFont val="Calibri"/>
        <b/>
        <color theme="1"/>
        <sz val="11.0"/>
      </rPr>
      <t xml:space="preserve"> + </t>
    </r>
    <r>
      <rPr>
        <rFont val="Symbol"/>
        <b/>
        <color theme="1"/>
        <sz val="11.0"/>
      </rPr>
      <t>D</t>
    </r>
    <r>
      <rPr>
        <rFont val="Calibri"/>
        <b/>
        <color theme="1"/>
        <sz val="11.0"/>
      </rPr>
      <t>P</t>
    </r>
    <r>
      <rPr>
        <rFont val="Calibri"/>
        <b/>
        <color theme="1"/>
        <sz val="11.0"/>
        <vertAlign val="subscript"/>
      </rPr>
      <t>diff</t>
    </r>
    <r>
      <rPr>
        <rFont val="Calibri"/>
        <b/>
        <color theme="1"/>
        <sz val="11.0"/>
      </rPr>
      <t xml:space="preserve">(100 kPa/Bar) + </t>
    </r>
    <r>
      <rPr>
        <rFont val="Symbol"/>
        <b/>
        <color theme="1"/>
        <sz val="11.0"/>
      </rPr>
      <t>g</t>
    </r>
    <r>
      <rPr>
        <rFont val="Calibri"/>
        <b/>
        <color theme="1"/>
        <sz val="11.0"/>
        <vertAlign val="subscript"/>
      </rPr>
      <t>H2O</t>
    </r>
    <r>
      <rPr>
        <rFont val="Calibri"/>
        <b/>
        <color theme="1"/>
        <sz val="11.0"/>
      </rPr>
      <t>*d</t>
    </r>
    <r>
      <rPr>
        <rFont val="Calibri"/>
        <b/>
        <color theme="1"/>
        <sz val="11.0"/>
        <vertAlign val="subscript"/>
      </rPr>
      <t>diff</t>
    </r>
  </si>
  <si>
    <r>
      <rPr>
        <rFont val="Arial"/>
        <color theme="1"/>
        <sz val="10.0"/>
      </rPr>
      <t xml:space="preserve">   Norm. Air Density, </t>
    </r>
    <r>
      <rPr>
        <rFont val="Symbol"/>
        <b/>
        <color theme="1"/>
        <sz val="11.0"/>
      </rPr>
      <t>r</t>
    </r>
    <r>
      <rPr>
        <rFont val="Arial"/>
        <b/>
        <color theme="1"/>
        <sz val="11.0"/>
        <vertAlign val="subscript"/>
      </rPr>
      <t>air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</si>
  <si>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</si>
  <si>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   (at 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C, 1 bar)</t>
    </r>
  </si>
  <si>
    <t>Calculations</t>
  </si>
  <si>
    <t>References for additional background information:</t>
  </si>
  <si>
    <r>
      <rPr>
        <rFont val="Arial"/>
        <color theme="1"/>
        <sz val="10.0"/>
      </rPr>
      <t>Act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transf effic, A</t>
    </r>
    <r>
      <rPr>
        <rFont val="Arial"/>
        <b/>
        <color theme="1"/>
        <sz val="11.0"/>
      </rPr>
      <t>OTE</t>
    </r>
    <r>
      <rPr>
        <rFont val="Arial"/>
        <color theme="1"/>
        <sz val="10.0"/>
      </rPr>
      <t xml:space="preserve"> =</t>
    </r>
  </si>
  <si>
    <t>1. Odegaard, Hallvard, "Compact Wastewater Treatment with MBBR."  DSD International Conference</t>
  </si>
  <si>
    <r>
      <rPr>
        <rFont val="Arial"/>
        <color theme="1"/>
        <sz val="10.0"/>
      </rPr>
      <t xml:space="preserve">Pressure at mid Depth,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D</t>
    </r>
    <r>
      <rPr>
        <rFont val="Arial"/>
        <color theme="1"/>
        <sz val="10.0"/>
      </rPr>
      <t xml:space="preserve"> =</t>
    </r>
  </si>
  <si>
    <t>kPa</t>
  </si>
  <si>
    <r>
      <rPr>
        <rFont val="Arial"/>
        <color theme="1"/>
        <sz val="10.0"/>
      </rPr>
      <t>Des. Air Flow Rate, 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 =</t>
    </r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</si>
  <si>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</si>
  <si>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t>Hong Kong, 12.  11-14-2014.</t>
  </si>
  <si>
    <t>http://www.dsdic2014.hk/ppt/Presentation_(B4-1).pdf</t>
  </si>
  <si>
    <t>D.O sat'n conc. for clean water at ww</t>
  </si>
  <si>
    <r>
      <rPr>
        <rFont val="Arial"/>
        <color theme="1"/>
        <sz val="10.0"/>
      </rPr>
      <t>Des. Air Flow Rate,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</si>
  <si>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</si>
  <si>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  <sz val="10.0"/>
      </rPr>
      <t xml:space="preserve">  temp. and 1 atm,  </t>
    </r>
    <r>
      <rPr>
        <rFont val="Arial"/>
        <b/>
        <color theme="1"/>
        <sz val="11.0"/>
      </rPr>
      <t>C</t>
    </r>
    <r>
      <rPr>
        <rFont val="Arial"/>
        <b/>
        <color theme="1"/>
        <sz val="11.0"/>
        <vertAlign val="subscript"/>
      </rPr>
      <t>s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</si>
  <si>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   Blower Outlet Pressure,</t>
    </r>
    <r>
      <rPr>
        <rFont val="Arial"/>
        <b/>
        <color theme="1"/>
        <sz val="10.0"/>
      </rPr>
      <t xml:space="preserve">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B2</t>
    </r>
    <r>
      <rPr>
        <rFont val="Arial"/>
        <color theme="1"/>
        <sz val="10.0"/>
      </rPr>
      <t xml:space="preserve"> =</t>
    </r>
  </si>
  <si>
    <t>2. Odegaard, H., "The Moving Bed Biofilm Reactor," in Igasrashi, T, Watanabe, Y., Asano, T. and</t>
  </si>
  <si>
    <t xml:space="preserve">  (Derivation of equation for sat'n D.O. vs T is shown on worksheet 4)</t>
  </si>
  <si>
    <t>Tambo, N., Water Environmental Engineering and Reuse of Water, Hokkaido Press 1999, p 250-305.</t>
  </si>
  <si>
    <t>http://netedu.xauat.edu.cn/jpkc/netedu/jpkc2009/szylyybh/content/wlzy/7/3/The%20Moving%20Bed%20Biofilm%20Reactor.pdf</t>
  </si>
  <si>
    <t>VII. Calculation of Alkalinity Requirements</t>
  </si>
  <si>
    <t>3. Steichen &amp; Phillips, H., M, Black &amp; Veach, Process and Practical Design Considerations for</t>
  </si>
  <si>
    <t>Input:</t>
  </si>
  <si>
    <t xml:space="preserve">                 Target Effluent Alkalinity =</t>
  </si>
  <si>
    <t>IFAS and MBBR Technologies, Headworks International Presentation, 03/18/2010</t>
  </si>
  <si>
    <t>http://www.headworksinternational.com/userfiles/file/Webinar/BV_Webinar_Slides.pdf</t>
  </si>
  <si>
    <t>Constants needed for Calculations:</t>
  </si>
  <si>
    <r>
      <rPr>
        <rFont val="Arial"/>
        <color theme="1"/>
      </rPr>
      <t xml:space="preserve">4.  McQuarrie, J.P. and Boltz, J.P., </t>
    </r>
    <r>
      <rPr>
        <rFont val="Arial"/>
        <i/>
        <color theme="1"/>
        <sz val="10.0"/>
      </rPr>
      <t>Moving Bed Biofilm Reactor Technology: Process Applications,</t>
    </r>
  </si>
  <si>
    <r>
      <rPr>
        <rFont val="Arial"/>
        <color theme="1"/>
        <sz val="10.0"/>
      </rPr>
      <t xml:space="preserve">     Equiv Wt. of 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=</t>
    </r>
  </si>
  <si>
    <t>g/equiv.</t>
  </si>
  <si>
    <r>
      <rPr>
        <rFont val="Arial"/>
        <color theme="1"/>
        <sz val="10.0"/>
      </rPr>
      <t xml:space="preserve">     Equiv Wt. of NaHCO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</si>
  <si>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    </t>
    </r>
    <r>
      <rPr>
        <rFont val="Arial"/>
        <i/>
        <color theme="1"/>
        <sz val="10.0"/>
      </rPr>
      <t xml:space="preserve"> Design and Performance</t>
    </r>
    <r>
      <rPr>
        <rFont val="Arial"/>
        <color theme="1"/>
        <sz val="10.0"/>
      </rPr>
      <t>, Water Environment Research, Vol 83, No. 6. June 2011.</t>
    </r>
  </si>
  <si>
    <t xml:space="preserve">       Alkalinity used for Nitrification =</t>
  </si>
  <si>
    <r>
      <rPr>
        <rFont val="Arial"/>
        <color theme="1"/>
        <sz val="10.0"/>
      </rPr>
      <t xml:space="preserve">  g 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/g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removed</t>
    </r>
  </si>
  <si>
    <t>5. Bjornberg, Corey,  "Moving Bed Biofilm Reactor for Nitrification/Denitrification"</t>
  </si>
  <si>
    <t xml:space="preserve">   Alkalinity produced by Denitrification =</t>
  </si>
  <si>
    <r>
      <rPr>
        <rFont val="Arial"/>
        <color theme="1"/>
        <sz val="10.0"/>
      </rPr>
      <t xml:space="preserve">  g 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/g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removed</t>
    </r>
  </si>
  <si>
    <t>https://www.ndsu.edu/pubweb/nrg/outreach/Moving%20Bed%20Biofilm%20Reactor%20for%20Denitrification%20Corey.pdf</t>
  </si>
  <si>
    <r>
      <rPr>
        <rFont val="Arial"/>
        <color theme="1"/>
        <sz val="10.0"/>
      </rPr>
      <t xml:space="preserve">6. Rusten, B. and Paulsrud, B.,  </t>
    </r>
    <r>
      <rPr>
        <rFont val="Arial"/>
        <i/>
        <color theme="1"/>
        <sz val="10.0"/>
      </rPr>
      <t>Improved Nutrient Removal with Biofilm Reactors</t>
    </r>
    <r>
      <rPr>
        <rFont val="Arial"/>
        <color theme="1"/>
        <sz val="10.0"/>
      </rPr>
      <t>,</t>
    </r>
  </si>
  <si>
    <t xml:space="preserve">      Aquateam - Norwegian Water Technology Center, Oslo, Norway.</t>
  </si>
  <si>
    <t xml:space="preserve">                  Alkalinity to be added =</t>
  </si>
  <si>
    <r>
      <rPr>
        <rFont val="Arial"/>
        <color theme="1"/>
        <sz val="10.0"/>
      </rPr>
      <t xml:space="preserve">   mg/L as CaCO</t>
    </r>
    <r>
      <rPr>
        <rFont val="Arial"/>
        <color theme="1"/>
        <sz val="10.0"/>
        <vertAlign val="subscript"/>
      </rPr>
      <t>3</t>
    </r>
  </si>
  <si>
    <t xml:space="preserve">           Daily Alkalinity Requirement =</t>
  </si>
  <si>
    <r>
      <rPr>
        <rFont val="Arial"/>
        <color theme="1"/>
        <sz val="10.0"/>
      </rPr>
      <t xml:space="preserve">   kg/day as CaCO</t>
    </r>
    <r>
      <rPr>
        <rFont val="Arial"/>
        <color theme="1"/>
        <sz val="10.0"/>
        <vertAlign val="subscript"/>
      </rPr>
      <t>3</t>
    </r>
  </si>
  <si>
    <t>7. Metcalf &amp; Eddy, "Wastewater Engineering Treatment and Resource Recovery", 5th Ed, McGraw-Hill, 2014</t>
  </si>
  <si>
    <t xml:space="preserve">     For sodium bicarbonate use to add alkalinity:</t>
  </si>
  <si>
    <t>8. Salvetti, R., A. Azzellino, R. Canziani, and L. Bonomo (2006), "Effect of Temperature on Tertiary</t>
  </si>
  <si>
    <t xml:space="preserve">    Nitrification in Moving-Bed Biofilm Reactors," Water Res.,  40,  15,  298-2993.</t>
  </si>
  <si>
    <r>
      <rPr>
        <rFont val="Arial"/>
        <color theme="1"/>
      </rPr>
      <t xml:space="preserve">           Daily NaHCO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Requirement =</t>
    </r>
  </si>
  <si>
    <r>
      <rPr>
        <rFont val="Arial"/>
        <color theme="1"/>
        <sz val="10.0"/>
      </rPr>
      <t xml:space="preserve">   kg/day NaHCO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</si>
  <si>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 xml:space="preserve">9. Bengtson, Harlan H., </t>
    </r>
  </si>
  <si>
    <t>Spreadsheets for MBBR Denitrification Design Calculations,</t>
  </si>
  <si>
    <t>an Amazon Kindle ebook.</t>
  </si>
  <si>
    <r>
      <rPr>
        <rFont val="Arial"/>
        <color theme="1"/>
        <sz val="10.0"/>
      </rPr>
      <t xml:space="preserve">10. Bengtson, Harlan H., </t>
    </r>
  </si>
  <si>
    <t>Spreadsheets for MBBR Process Design Calculations,</t>
  </si>
  <si>
    <t>available as a paperback book and as an Amazon Kindle ebook.</t>
  </si>
  <si>
    <r>
      <rPr>
        <rFont val="Arial"/>
        <color theme="1"/>
        <sz val="10.0"/>
      </rPr>
      <t xml:space="preserve">11. Bengtson, Harlan H., </t>
    </r>
  </si>
  <si>
    <t>Biological Wastewater Treatment Process Design Calculations</t>
  </si>
  <si>
    <t>cylindrical</t>
  </si>
  <si>
    <t xml:space="preserve">       Post-Anoxic Denitrification Process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</si>
  <si>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1.0"/>
      </rPr>
      <t xml:space="preserve"> </t>
    </r>
    <r>
      <rPr>
        <rFont val="Arial"/>
        <b/>
        <i/>
        <color theme="1"/>
        <sz val="11.0"/>
      </rPr>
      <t>Enter values in blue boxes.  Spreadsheet calculates values in yellow boxes</t>
    </r>
  </si>
  <si>
    <r>
      <rPr>
        <rFont val="Arial"/>
        <color theme="1"/>
        <sz val="10.0"/>
      </rPr>
      <t xml:space="preserve">Design ww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</si>
  <si>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</si>
  <si>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Prim. Effl. BOD, </t>
    </r>
    <r>
      <rPr>
        <rFont val="Arial"/>
        <b/>
        <color theme="1"/>
        <sz val="12.0"/>
      </rPr>
      <t>S</t>
    </r>
    <r>
      <rPr>
        <rFont val="Arial"/>
        <b/>
        <color theme="1"/>
        <sz val="12.0"/>
        <vertAlign val="subscript"/>
      </rPr>
      <t>o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</si>
  <si>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Prim. Effl.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Conc. =</t>
    </r>
  </si>
  <si>
    <r>
      <rPr>
        <rFont val="Arial"/>
        <color theme="1"/>
        <sz val="11.0"/>
      </rPr>
      <t>Estimation of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1.0"/>
      </rPr>
      <t xml:space="preserve">SARR/SALR Ratio: </t>
    </r>
    <r>
      <rPr>
        <rFont val="Arial"/>
        <color theme="1"/>
        <sz val="11.0"/>
      </rPr>
      <t xml:space="preserve"> Default data points for derivation of a SARR vs SALR</t>
    </r>
  </si>
  <si>
    <r>
      <rPr>
        <rFont val="Arial"/>
        <color theme="1"/>
        <sz val="10.0"/>
      </rPr>
      <t xml:space="preserve"> mg/L as CaCO</t>
    </r>
    <r>
      <rPr>
        <rFont val="Arial"/>
        <color theme="1"/>
        <sz val="10.0"/>
        <vertAlign val="subscript"/>
      </rPr>
      <t>3</t>
    </r>
  </si>
  <si>
    <t>2. Parameters for First (BOD Removal) Stage:</t>
  </si>
  <si>
    <t>Typical Design Values for Carrier Surface Loading Rate (SALR):</t>
  </si>
  <si>
    <r>
      <rPr>
        <rFont val="Arial"/>
        <b/>
        <color theme="1"/>
        <sz val="10.0"/>
      </rPr>
      <t xml:space="preserve">  Nitrification SARR:  </t>
    </r>
    <r>
      <rPr>
        <rFont val="Arial"/>
        <b val="0"/>
        <color theme="1"/>
        <sz val="10.0"/>
      </rPr>
      <t>( adapted from Metcalf &amp; Eddy, 5th Ed, Figure 9-25 )</t>
    </r>
  </si>
  <si>
    <t>Design Value of BOD Surface</t>
  </si>
  <si>
    <r>
      <rPr>
        <rFont val="Arial"/>
        <color theme="1"/>
        <sz val="10.0"/>
      </rPr>
      <t xml:space="preserve">          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 xml:space="preserve"> (g/m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/d):</t>
    </r>
  </si>
  <si>
    <t xml:space="preserve">   (from Reference (2) below)</t>
  </si>
  <si>
    <t>Area Loading Rate (SALR) =</t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</si>
  <si>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</si>
  <si>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>3. Parameters for Second (Nitrification) Stage:</t>
  </si>
  <si>
    <r>
      <rPr>
        <rFont val="Arial"/>
        <color theme="1"/>
        <sz val="10.0"/>
      </rPr>
      <t xml:space="preserve">    Influent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 Conc. =</t>
    </r>
  </si>
  <si>
    <r>
      <rPr>
        <rFont val="Arial"/>
        <color theme="1"/>
        <sz val="10.0"/>
      </rPr>
      <t>Target Effl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-N Conc, </t>
    </r>
    <r>
      <rPr>
        <rFont val="Arial"/>
        <b/>
        <color theme="1"/>
        <sz val="11.0"/>
      </rPr>
      <t>NH</t>
    </r>
    <r>
      <rPr>
        <rFont val="Arial"/>
        <b/>
        <color theme="1"/>
        <sz val="11.0"/>
        <vertAlign val="subscript"/>
      </rPr>
      <t>4</t>
    </r>
    <r>
      <rPr>
        <rFont val="Arial"/>
        <b/>
        <color theme="1"/>
        <sz val="11.0"/>
      </rPr>
      <t>-N</t>
    </r>
    <r>
      <rPr>
        <rFont val="Arial"/>
        <b/>
        <color theme="1"/>
        <sz val="11.0"/>
        <vertAlign val="subscript"/>
      </rPr>
      <t>e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</si>
  <si>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SARR</t>
    </r>
    <r>
      <rPr>
        <rFont val="Arial"/>
        <color theme="1"/>
        <sz val="10.0"/>
        <vertAlign val="subscript"/>
      </rPr>
      <t>max</t>
    </r>
  </si>
  <si>
    <r>
      <rPr>
        <rFont val="Arial"/>
        <color theme="1"/>
        <sz val="10.0"/>
      </rPr>
      <t>N @ SARR</t>
    </r>
    <r>
      <rPr>
        <rFont val="Arial"/>
        <color theme="1"/>
        <sz val="10.0"/>
        <vertAlign val="subscript"/>
      </rPr>
      <t>max</t>
    </r>
  </si>
  <si>
    <r>
      <rPr>
        <rFont val="Arial"/>
        <color theme="1"/>
        <sz val="10.0"/>
      </rPr>
      <t xml:space="preserve">      Min Design Temp., </t>
    </r>
    <r>
      <rPr>
        <rFont val="Arial"/>
        <b/>
        <color theme="1"/>
        <sz val="11.0"/>
      </rPr>
      <t>T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</si>
  <si>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</si>
  <si>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</si>
  <si>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 xml:space="preserve">        D.O Conc. in Reactor =</t>
  </si>
  <si>
    <t>4. Preliminary Calculations - Design Nitrification SALR value</t>
  </si>
  <si>
    <r>
      <rPr>
        <rFont val="Arial"/>
        <color theme="1"/>
        <sz val="10.0"/>
      </rPr>
      <t xml:space="preserve">      The N values at SARR</t>
    </r>
    <r>
      <rPr>
        <rFont val="Arial"/>
        <color theme="1"/>
        <sz val="10.0"/>
        <vertAlign val="subscript"/>
      </rPr>
      <t>max</t>
    </r>
    <r>
      <rPr>
        <rFont val="Arial"/>
        <color theme="1"/>
        <sz val="10.0"/>
      </rPr>
      <t xml:space="preserve"> were read from Figure 9-25.  The SARR</t>
    </r>
    <r>
      <rPr>
        <rFont val="Arial"/>
        <color theme="1"/>
        <sz val="10.0"/>
        <vertAlign val="subscript"/>
      </rPr>
      <t>max</t>
    </r>
  </si>
  <si>
    <r>
      <rPr>
        <rFont val="Arial"/>
        <color theme="1"/>
        <sz val="10.0"/>
      </rPr>
      <t xml:space="preserve">    %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 removal =</t>
    </r>
  </si>
  <si>
    <r>
      <rPr>
        <rFont val="Arial"/>
        <color theme="1"/>
        <sz val="10.0"/>
      </rPr>
      <t xml:space="preserve"> 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</t>
    </r>
    <r>
      <rPr>
        <rFont val="Arial"/>
        <color theme="1"/>
        <sz val="10.0"/>
        <vertAlign val="subscript"/>
      </rPr>
      <t>e</t>
    </r>
    <r>
      <rPr>
        <rFont val="Arial"/>
        <color theme="1"/>
        <sz val="10.0"/>
      </rPr>
      <t xml:space="preserve"> @ SARR</t>
    </r>
    <r>
      <rPr>
        <rFont val="Arial"/>
        <color theme="1"/>
        <sz val="10.0"/>
        <vertAlign val="subscript"/>
      </rPr>
      <t>max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</si>
  <si>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5th Ed:   </t>
    </r>
    <r>
      <rPr>
        <rFont val="Arial"/>
        <b/>
        <color theme="1"/>
        <sz val="10.0"/>
      </rPr>
      <t>SARR =  [N/(2.2 + N)]*3.3</t>
    </r>
    <r>
      <rPr>
        <rFont val="Arial"/>
        <color theme="1"/>
        <sz val="10.0"/>
      </rPr>
      <t xml:space="preserve">,  where </t>
    </r>
    <r>
      <rPr>
        <rFont val="Arial"/>
        <b/>
        <color theme="1"/>
        <sz val="10.0"/>
      </rPr>
      <t>N</t>
    </r>
    <r>
      <rPr>
        <rFont val="Arial"/>
        <color theme="1"/>
        <sz val="10.0"/>
      </rPr>
      <t xml:space="preserve"> is the bulk liquid (effluent)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</si>
  <si>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</si>
  <si>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>SARR @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-Ne, 15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1.0"/>
      </rPr>
      <t>SARR</t>
    </r>
    <r>
      <rPr>
        <rFont val="Arial"/>
        <b/>
        <color theme="1"/>
        <sz val="11.0"/>
        <vertAlign val="subscript"/>
      </rPr>
      <t>15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</si>
  <si>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</si>
  <si>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>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>-N concentration.</t>
    </r>
  </si>
  <si>
    <r>
      <rPr>
        <rFont val="Arial"/>
        <color theme="1"/>
        <sz val="10.0"/>
      </rPr>
      <t>SARR @ NH</t>
    </r>
    <r>
      <rPr>
        <rFont val="Arial"/>
        <color theme="1"/>
        <sz val="10.0"/>
        <vertAlign val="subscript"/>
      </rPr>
      <t>4</t>
    </r>
    <r>
      <rPr>
        <rFont val="Arial"/>
        <color theme="1"/>
        <sz val="10.0"/>
      </rPr>
      <t xml:space="preserve">-Ne, T 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 xml:space="preserve">C, </t>
    </r>
    <r>
      <rPr>
        <rFont val="Arial"/>
        <b/>
        <color theme="1"/>
        <sz val="11.0"/>
      </rPr>
      <t>SARR</t>
    </r>
    <r>
      <rPr>
        <rFont val="Arial"/>
        <b/>
        <color theme="1"/>
        <sz val="11.0"/>
        <vertAlign val="subscript"/>
      </rPr>
      <t>T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</si>
  <si>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</si>
  <si>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  SARR temperature correction coefficients being used are: </t>
    </r>
    <r>
      <rPr>
        <rFont val="Arial"/>
        <b/>
        <color theme="1"/>
        <sz val="11.0"/>
      </rPr>
      <t xml:space="preserve"> </t>
    </r>
    <r>
      <rPr>
        <rFont val="Symbol"/>
        <b/>
        <color theme="1"/>
        <sz val="11.0"/>
      </rPr>
      <t>q</t>
    </r>
    <r>
      <rPr>
        <rFont val="Arial"/>
        <color theme="1"/>
        <sz val="10.0"/>
      </rPr>
      <t xml:space="preserve"> = 1.058 for DO limited </t>
    </r>
  </si>
  <si>
    <r>
      <rPr>
        <rFont val="Arial"/>
        <color theme="1"/>
        <sz val="10.0"/>
      </rPr>
      <t xml:space="preserve"> SARR Temp. Coeff, </t>
    </r>
    <r>
      <rPr>
        <rFont val="Symbol"/>
        <b/>
        <color theme="1"/>
        <sz val="11.0"/>
      </rPr>
      <t>q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</si>
  <si>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          Design Value for nitrification </t>
    </r>
    <r>
      <rPr>
        <rFont val="Arial"/>
        <b/>
        <color theme="1"/>
        <sz val="11.0"/>
      </rPr>
      <t>SALR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</si>
  <si>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</si>
  <si>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conditions and </t>
    </r>
    <r>
      <rPr>
        <rFont val="Symbol"/>
        <b/>
        <color theme="1"/>
        <sz val="11.0"/>
      </rPr>
      <t>q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0.0"/>
      </rPr>
      <t>= 1.098 for ammonia limited conditions.  (per Salvetti et al - see ref list below)</t>
    </r>
  </si>
  <si>
    <r>
      <rPr>
        <rFont val="Arial"/>
        <b/>
        <color theme="1"/>
        <sz val="11.0"/>
      </rPr>
      <t>SARR</t>
    </r>
    <r>
      <rPr>
        <rFont val="Arial"/>
        <b/>
        <color theme="1"/>
        <sz val="11.0"/>
        <vertAlign val="subscript"/>
      </rPr>
      <t>T</t>
    </r>
    <r>
      <rPr>
        <rFont val="Arial"/>
        <b/>
        <color theme="1"/>
        <sz val="11.0"/>
      </rPr>
      <t xml:space="preserve"> = SARR</t>
    </r>
    <r>
      <rPr>
        <rFont val="Arial"/>
        <b/>
        <color theme="1"/>
        <sz val="11.0"/>
        <vertAlign val="subscript"/>
      </rPr>
      <t>15</t>
    </r>
    <r>
      <rPr>
        <rFont val="Symbol"/>
        <b/>
        <color theme="1"/>
        <sz val="11.0"/>
      </rPr>
      <t>q</t>
    </r>
    <r>
      <rPr>
        <rFont val="Arial"/>
        <b/>
        <color theme="1"/>
        <sz val="11.0"/>
        <vertAlign val="superscript"/>
      </rPr>
      <t>(T - 15)</t>
    </r>
  </si>
  <si>
    <t>5. Parameters for Third (Post-Anoxic) Stage:</t>
  </si>
  <si>
    <r>
      <rPr>
        <rFont val="Arial"/>
        <color theme="1"/>
        <sz val="10.0"/>
      </rPr>
      <t xml:space="preserve">  Target Effl.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Conc. =</t>
    </r>
  </si>
  <si>
    <r>
      <rPr>
        <rFont val="Arial"/>
        <color theme="1"/>
        <sz val="10.0"/>
      </rPr>
      <t xml:space="preserve">          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 xml:space="preserve"> (g/m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/d):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</si>
  <si>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</si>
  <si>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>(default values above are from a graph of</t>
  </si>
  <si>
    <t>Post-Anoxic  SARR vs SALR in ref #6 below right)</t>
  </si>
  <si>
    <t xml:space="preserve">   (The graph is shown at the right.)</t>
  </si>
  <si>
    <r>
      <rPr>
        <rFont val="Arial"/>
        <color theme="1"/>
      </rPr>
      <t xml:space="preserve">Carbon:Nitrogen Ratio, </t>
    </r>
    <r>
      <rPr>
        <rFont val="Arial"/>
        <b/>
        <color theme="1"/>
        <sz val="11.0"/>
      </rPr>
      <t>C/N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</si>
  <si>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</si>
  <si>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1.0"/>
      </rPr>
      <t xml:space="preserve">1.  Pre-Denitirication is suitable if  </t>
    </r>
    <r>
      <rPr>
        <rFont val="Arial"/>
        <b/>
        <color theme="1"/>
        <sz val="11.0"/>
      </rPr>
      <t xml:space="preserve">C/N  </t>
    </r>
    <r>
      <rPr>
        <rFont val="Arial"/>
        <b/>
        <color theme="1"/>
        <sz val="11.0"/>
        <u/>
      </rPr>
      <t>&gt;</t>
    </r>
    <r>
      <rPr>
        <rFont val="Arial"/>
        <b/>
        <color theme="1"/>
        <sz val="11.0"/>
      </rPr>
      <t xml:space="preserve">  4</t>
    </r>
    <r>
      <rPr>
        <rFont val="Arial"/>
        <color theme="1"/>
        <sz val="11.0"/>
      </rPr>
      <t xml:space="preserve">  and   </t>
    </r>
    <r>
      <rPr>
        <rFont val="Arial"/>
        <b/>
        <color theme="1"/>
        <sz val="11.0"/>
      </rPr>
      <t xml:space="preserve">Target % Removal of N  </t>
    </r>
    <r>
      <rPr>
        <rFont val="Arial"/>
        <b/>
        <color theme="1"/>
        <sz val="11.0"/>
        <u/>
      </rPr>
      <t>&lt;</t>
    </r>
    <r>
      <rPr>
        <rFont val="Arial"/>
        <b/>
        <color theme="1"/>
        <sz val="11.0"/>
      </rPr>
      <t xml:space="preserve">  75%</t>
    </r>
  </si>
  <si>
    <r>
      <rPr>
        <rFont val="Arial"/>
        <color theme="1"/>
        <sz val="11.0"/>
      </rPr>
      <t xml:space="preserve">2.  Post-Denitirication should be used if  </t>
    </r>
    <r>
      <rPr>
        <rFont val="Arial"/>
        <b/>
        <color theme="1"/>
        <sz val="11.0"/>
      </rPr>
      <t>C/N  &lt;  4</t>
    </r>
    <r>
      <rPr>
        <rFont val="Arial"/>
        <color theme="1"/>
        <sz val="11.0"/>
      </rPr>
      <t xml:space="preserve">  or   </t>
    </r>
    <r>
      <rPr>
        <rFont val="Arial"/>
        <b/>
        <color theme="1"/>
        <sz val="11.0"/>
      </rPr>
      <t>Target % Removal of N  &gt;  75%</t>
    </r>
  </si>
  <si>
    <t xml:space="preserve">1. First Stage (BOD Removal) Calculations </t>
  </si>
  <si>
    <r>
      <rPr>
        <rFont val="Calibri"/>
        <b/>
        <color rgb="FF000000"/>
        <sz val="11.0"/>
      </rPr>
      <t xml:space="preserve">   BOD Daily Loading = (Q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*S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)</t>
    </r>
  </si>
  <si>
    <t xml:space="preserve">     BOD Daily Loading =</t>
  </si>
  <si>
    <t xml:space="preserve"> Required Tank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</si>
  <si>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</si>
  <si>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color rgb="FF000000"/>
        <sz val="11.0"/>
      </rPr>
      <t xml:space="preserve">  Tank Width &amp; Length calculated from:  </t>
    </r>
    <r>
      <rPr>
        <rFont val="Calibri"/>
        <b/>
        <color rgb="FF000000"/>
        <sz val="11.0"/>
      </rPr>
      <t>Tank Volume = L*W*Liquid Depth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</si>
  <si>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</si>
  <si>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Calibri"/>
        <color rgb="FF000000"/>
        <sz val="11.0"/>
      </rPr>
      <t xml:space="preserve">  </t>
    </r>
    <r>
      <rPr>
        <rFont val="Calibri"/>
        <b/>
        <color rgb="FF000000"/>
        <sz val="11.0"/>
      </rPr>
      <t>Or</t>
    </r>
    <r>
      <rPr>
        <rFont val="Calibri"/>
        <color rgb="FF000000"/>
        <sz val="11.0"/>
      </rPr>
      <t xml:space="preserve">, Tank Diameter calculated from:  </t>
    </r>
    <r>
      <rPr>
        <rFont val="Calibri"/>
        <b/>
        <color rgb="FF000000"/>
        <sz val="11.0"/>
      </rPr>
      <t>Tank Volume = (</t>
    </r>
    <r>
      <rPr>
        <rFont val="Symbol"/>
        <b/>
        <color rgb="FF000000"/>
        <sz val="11.0"/>
      </rPr>
      <t>p</t>
    </r>
    <r>
      <rPr>
        <rFont val="Calibri"/>
        <b/>
        <color rgb="FF000000"/>
        <sz val="11.0"/>
      </rPr>
      <t>D</t>
    </r>
    <r>
      <rPr>
        <rFont val="Calibri"/>
        <b/>
        <color rgb="FF000000"/>
        <sz val="11.0"/>
        <vertAlign val="superscript"/>
      </rPr>
      <t>2</t>
    </r>
    <r>
      <rPr>
        <rFont val="Calibri"/>
        <b/>
        <color rgb="FF000000"/>
        <sz val="11.0"/>
      </rPr>
      <t>/4)Liquid Depth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</si>
  <si>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</si>
  <si>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  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</si>
  <si>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</si>
  <si>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 Removal Rate, </t>
    </r>
    <r>
      <rPr>
        <rFont val="Arial"/>
        <b/>
        <color theme="1"/>
        <sz val="10.0"/>
      </rPr>
      <t>SARR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</si>
  <si>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</si>
  <si>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b/>
        <color rgb="FF7030A0"/>
        <sz val="10.0"/>
      </rPr>
      <t xml:space="preserve">  If the calculated Effl. BOD</t>
    </r>
    <r>
      <rPr>
        <rFont val="Arial"/>
        <b/>
        <color rgb="FF800080"/>
        <sz val="10.0"/>
      </rPr>
      <t xml:space="preserve"> conc. Is too high, the</t>
    </r>
  </si>
  <si>
    <t>design value of SALR (in cell C17) should be reduced.</t>
  </si>
  <si>
    <r>
      <rPr>
        <rFont val="Calibri"/>
        <b/>
        <color rgb="FF000000"/>
        <sz val="11.0"/>
      </rPr>
      <t xml:space="preserve">  Calculated Eff. BOD Conc. =  (BOD Daily Loading - BOD Removal Rate)/Q</t>
    </r>
    <r>
      <rPr>
        <rFont val="Calibri"/>
        <b/>
        <color rgb="FF000000"/>
        <sz val="11.0"/>
        <vertAlign val="subscript"/>
      </rPr>
      <t>o</t>
    </r>
  </si>
  <si>
    <t xml:space="preserve">2. Second Stage (Nitrification) Calculations </t>
  </si>
  <si>
    <t xml:space="preserve"> (for second stage)     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</si>
  <si>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</si>
  <si>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b/>
        <color theme="1"/>
        <sz val="11.0"/>
      </rPr>
      <t xml:space="preserve">   NH</t>
    </r>
    <r>
      <rPr>
        <rFont val="Calibri"/>
        <b/>
        <color theme="1"/>
        <sz val="11.0"/>
        <vertAlign val="subscript"/>
      </rPr>
      <t>3</t>
    </r>
    <r>
      <rPr>
        <rFont val="Calibri"/>
        <b/>
        <color theme="1"/>
        <sz val="11.0"/>
      </rPr>
      <t>-N Daily Loading = Q</t>
    </r>
    <r>
      <rPr>
        <rFont val="Calibri"/>
        <b/>
        <color theme="1"/>
        <sz val="11.0"/>
        <vertAlign val="subscript"/>
      </rPr>
      <t>o</t>
    </r>
    <r>
      <rPr>
        <rFont val="Calibri"/>
        <b/>
        <color theme="1"/>
        <sz val="11.0"/>
      </rPr>
      <t>*Prim Effl NH</t>
    </r>
    <r>
      <rPr>
        <rFont val="Calibri"/>
        <b/>
        <color theme="1"/>
        <sz val="11.0"/>
        <vertAlign val="subscript"/>
      </rPr>
      <t>3</t>
    </r>
    <r>
      <rPr>
        <rFont val="Calibri"/>
        <b/>
        <color theme="1"/>
        <sz val="11.0"/>
      </rPr>
      <t>-N</t>
    </r>
  </si>
  <si>
    <r>
      <rPr>
        <rFont val="Arial"/>
        <color theme="1"/>
      </rPr>
      <t xml:space="preserve"> 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Daily Loading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</si>
  <si>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</si>
  <si>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b/>
        <color rgb="FF000000"/>
        <sz val="11.0"/>
      </rPr>
      <t xml:space="preserve">  Carrier Surf. Area needed =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Loading/SALR_NH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</si>
  <si>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</si>
  <si>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</si>
  <si>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 - 2nd stage tank volume =</t>
  </si>
  <si>
    <r>
      <rPr>
        <rFont val="Calibri"/>
        <b/>
        <color rgb="FF000000"/>
        <sz val="11.0"/>
      </rPr>
      <t xml:space="preserve">  Estimated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 = SARR*Carrier Surf Area</t>
    </r>
  </si>
  <si>
    <t>To make the 2nd stage tank volume the same as the</t>
  </si>
  <si>
    <r>
      <rPr>
        <rFont val="Calibri"/>
        <b/>
        <color rgb="FF000000"/>
        <sz val="11.0"/>
      </rPr>
      <t xml:space="preserve">  Calculated Eff.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Conc. =  (NH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 -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Rate)/Q</t>
    </r>
    <r>
      <rPr>
        <rFont val="Calibri"/>
        <b/>
        <color rgb="FF000000"/>
        <sz val="11.0"/>
        <vertAlign val="subscript"/>
      </rPr>
      <t>o</t>
    </r>
  </si>
  <si>
    <t>first stage, use Excel's Goal Seek process to set cell</t>
  </si>
  <si>
    <r>
      <rPr>
        <rFont val="Arial"/>
        <color theme="1"/>
        <sz val="10.0"/>
      </rPr>
      <t xml:space="preserve">     Check on BOD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>: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</si>
  <si>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</si>
  <si>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t>C83 equal to zero by changing the value in cell C76.</t>
  </si>
  <si>
    <r>
      <rPr>
        <rFont val="Arial"/>
        <color theme="1"/>
        <sz val="10.0"/>
      </rPr>
      <t xml:space="preserve">  (BOD </t>
    </r>
    <r>
      <rPr>
        <rFont val="Arial"/>
        <b/>
        <color theme="1"/>
        <sz val="10.0"/>
      </rPr>
      <t>SALR</t>
    </r>
    <r>
      <rPr>
        <rFont val="Arial"/>
        <color theme="1"/>
        <sz val="10.0"/>
      </rPr>
      <t xml:space="preserve"> should be &lt; 0.5 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 in order</t>
    </r>
  </si>
  <si>
    <t xml:space="preserve">3. Third Stage (Post-Anoxic) Calculations </t>
  </si>
  <si>
    <t xml:space="preserve">    Equations used for Tank Sizing - Post-Anoxic Stage</t>
  </si>
  <si>
    <t xml:space="preserve"> (for third stage)     Required Tank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</si>
  <si>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</si>
  <si>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Calibri"/>
        <b/>
        <color rgb="FF000000"/>
        <sz val="11.0"/>
      </rPr>
      <t xml:space="preserve">  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 = 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*Prim Effl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 xml:space="preserve">-N </t>
    </r>
  </si>
  <si>
    <r>
      <rPr>
        <rFont val="Arial"/>
        <color theme="1"/>
      </rPr>
      <t xml:space="preserve"> 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Daily Loading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</si>
  <si>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</si>
  <si>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</si>
  <si>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 xml:space="preserve">     Tank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</si>
  <si>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</si>
  <si>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Estimate of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Surface Area</t>
    </r>
  </si>
  <si>
    <r>
      <rPr>
        <rFont val="Arial"/>
        <color theme="1"/>
        <sz val="10.0"/>
      </rPr>
      <t xml:space="preserve">       Removal Rate, </t>
    </r>
    <r>
      <rPr>
        <rFont val="Arial"/>
        <b/>
        <color theme="1"/>
        <sz val="10.0"/>
      </rPr>
      <t>SARR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</si>
  <si>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</si>
  <si>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   Calculated Effl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Conc.:</t>
    </r>
  </si>
  <si>
    <r>
      <rPr>
        <rFont val="Arial"/>
        <color theme="1"/>
        <sz val="10.0"/>
      </rPr>
      <t xml:space="preserve">  Est. of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Removal Rate:</t>
    </r>
  </si>
  <si>
    <r>
      <rPr>
        <rFont val="Arial"/>
        <b/>
        <color rgb="FF7030A0"/>
        <sz val="10.0"/>
      </rPr>
      <t xml:space="preserve">  If the calculated Effl. NO</t>
    </r>
    <r>
      <rPr>
        <rFont val="Arial"/>
        <b/>
        <color rgb="FF800080"/>
        <sz val="10.0"/>
        <vertAlign val="subscript"/>
      </rPr>
      <t>3</t>
    </r>
    <r>
      <rPr>
        <rFont val="Arial"/>
        <b/>
        <color rgb="FF800080"/>
        <sz val="10.0"/>
      </rPr>
      <t>-N conc. Is</t>
    </r>
  </si>
  <si>
    <r>
      <rPr>
        <rFont val="Calibri"/>
        <b/>
        <color rgb="FF000000"/>
        <sz val="11.0"/>
      </rPr>
      <t xml:space="preserve">  Required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 = Q</t>
    </r>
    <r>
      <rPr>
        <rFont val="Calibri"/>
        <b/>
        <color rgb="FF000000"/>
        <sz val="11.0"/>
        <vertAlign val="subscript"/>
      </rPr>
      <t>o</t>
    </r>
    <r>
      <rPr>
        <rFont val="Calibri"/>
        <b/>
        <color rgb="FF000000"/>
        <sz val="11.0"/>
      </rPr>
      <t>*(Prim Effl TKN - Effl N0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- Effl NH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-N)</t>
    </r>
  </si>
  <si>
    <t xml:space="preserve">    too high, the design value of SALR</t>
  </si>
  <si>
    <r>
      <rPr>
        <rFont val="Calibri"/>
        <b/>
        <color rgb="FF000000"/>
        <sz val="11.0"/>
      </rPr>
      <t xml:space="preserve">  Estimated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 = SARR*Carrier Surf Area</t>
    </r>
  </si>
  <si>
    <t xml:space="preserve">    (in cell C36) should be reduced.</t>
  </si>
  <si>
    <r>
      <rPr>
        <rFont val="Calibri"/>
        <b/>
        <color rgb="FF000000"/>
        <sz val="11.0"/>
      </rPr>
      <t xml:space="preserve">  Calculated Eff.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Conc. =  (NO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Daily Loading - NO</t>
    </r>
    <r>
      <rPr>
        <rFont val="Calibri"/>
        <b/>
        <color rgb="FF000000"/>
        <sz val="11.0"/>
        <vertAlign val="subscript"/>
      </rPr>
      <t>3</t>
    </r>
    <r>
      <rPr>
        <rFont val="Calibri"/>
        <b/>
        <color rgb="FF000000"/>
        <sz val="11.0"/>
      </rPr>
      <t>-N Removal Rate)/Q</t>
    </r>
    <r>
      <rPr>
        <rFont val="Calibri"/>
        <b/>
        <color rgb="FF000000"/>
        <sz val="11.0"/>
        <vertAlign val="subscript"/>
      </rPr>
      <t>o</t>
    </r>
  </si>
  <si>
    <t>cell C99 equal to zero by changing the value in cell C90.</t>
  </si>
  <si>
    <r>
      <rPr>
        <rFont val="Arial"/>
        <b/>
        <color theme="1"/>
        <sz val="11.0"/>
        <u/>
      </rPr>
      <t>1. Inputs:</t>
    </r>
    <r>
      <rPr>
        <rFont val="Arial"/>
        <b/>
        <color theme="1"/>
        <sz val="10.0"/>
        <u/>
      </rPr>
      <t xml:space="preserve">  (Values of "Rule of Thumb" Constants to be used in Calculations - See notes at right)</t>
    </r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</si>
  <si>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kg BOD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</si>
  <si>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</t>
    </r>
  </si>
  <si>
    <r>
      <rPr>
        <rFont val="Arial"/>
        <color theme="1"/>
        <sz val="10.0"/>
      </rPr>
      <t xml:space="preserve">   O</t>
    </r>
    <r>
      <rPr>
        <rFont val="Arial"/>
        <color theme="1"/>
        <sz val="10.0"/>
        <vertAlign val="subscript"/>
      </rPr>
      <t xml:space="preserve">2 </t>
    </r>
    <r>
      <rPr>
        <rFont val="Arial"/>
        <color theme="1"/>
        <sz val="10.0"/>
      </rPr>
      <t>needed per lb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=</t>
    </r>
  </si>
  <si>
    <r>
      <rPr>
        <rFont val="Arial"/>
        <color theme="1"/>
        <sz val="10.0"/>
      </rPr>
      <t xml:space="preserve">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</t>
    </r>
  </si>
  <si>
    <r>
      <rPr>
        <rFont val="Arial"/>
        <color theme="1"/>
        <sz val="10.0"/>
      </rPr>
      <t>o</t>
    </r>
    <r>
      <rPr>
        <rFont val="Arial"/>
        <color theme="1"/>
        <sz val="10.0"/>
      </rPr>
      <t>C</t>
    </r>
  </si>
  <si>
    <r>
      <rPr>
        <rFont val="Arial"/>
        <color theme="1"/>
        <sz val="10.0"/>
      </rPr>
      <t>3.  Air weighs 1.275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(at 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 and 1 bar) and contains 23% oxygen by weight, thus:</t>
    </r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</si>
  <si>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</si>
  <si>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4.  Air contains </t>
    </r>
    <r>
      <rPr>
        <rFont val="Arial"/>
        <color theme="1"/>
        <sz val="10.0"/>
      </rPr>
      <t>0.293 kg of oxygen/m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.</t>
    </r>
  </si>
  <si>
    <r>
      <rPr>
        <rFont val="Arial"/>
        <color theme="1"/>
      </rPr>
      <t xml:space="preserve">       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Content in Air =</t>
    </r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</si>
  <si>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</si>
  <si>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2. First Stage (BOD Removal) Calculations:</t>
  </si>
  <si>
    <r>
      <rPr>
        <rFont val="Arial"/>
        <color theme="1"/>
      </rPr>
      <t xml:space="preserve">      is typically in the range from 0.92 - 1.1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BOD.  Higher SRT results in a higher value</t>
    </r>
  </si>
  <si>
    <r>
      <rPr>
        <rFont val="Arial"/>
        <color theme="1"/>
      </rPr>
      <t xml:space="preserve">      of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required/kg BOD removed.  (For a very high SRT, as is typical for an MBBR process,</t>
    </r>
  </si>
  <si>
    <r>
      <rPr>
        <rFont val="Arial"/>
        <color theme="1"/>
      </rPr>
      <t xml:space="preserve">      this value would be about 1.5 kg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/kg BOD removed.)</t>
    </r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</si>
  <si>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</si>
  <si>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  <sz val="10.0"/>
      </rPr>
      <t>Std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transf effic, </t>
    </r>
    <r>
      <rPr>
        <rFont val="Arial"/>
        <b/>
        <color theme="1"/>
        <sz val="11.0"/>
      </rPr>
      <t>SOTE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</si>
  <si>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Des. Barom. Press.,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atm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</si>
  <si>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Diffuser Fouling Factor, </t>
    </r>
    <r>
      <rPr>
        <rFont val="Arial"/>
        <b/>
        <color theme="1"/>
        <sz val="11.0"/>
      </rPr>
      <t>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</si>
  <si>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water at same T &amp; P, </t>
    </r>
    <r>
      <rPr>
        <rFont val="Arial"/>
        <b/>
        <color theme="1"/>
        <sz val="11.0"/>
      </rPr>
      <t>B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</si>
  <si>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to that in clean water, </t>
    </r>
    <r>
      <rPr>
        <rFont val="Symbol"/>
        <b/>
        <color theme="1"/>
        <sz val="11.0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</si>
  <si>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Depth of diffuser, </t>
    </r>
    <r>
      <rPr>
        <rFont val="Arial"/>
        <b/>
        <color theme="1"/>
        <sz val="11.0"/>
      </rPr>
      <t>d</t>
    </r>
    <r>
      <rPr>
        <rFont val="Arial"/>
        <b/>
        <color theme="1"/>
        <sz val="11.0"/>
        <vertAlign val="subscript"/>
      </rPr>
      <t>diff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0.0"/>
      </rPr>
      <t>=</t>
    </r>
  </si>
  <si>
    <r>
      <rPr>
        <rFont val="Arial"/>
        <color theme="1"/>
        <sz val="10.0"/>
      </rPr>
      <t xml:space="preserve">              diffuser,</t>
    </r>
    <r>
      <rPr>
        <rFont val="Arial"/>
        <b/>
        <color theme="1"/>
        <sz val="11.0"/>
      </rPr>
      <t xml:space="preserve"> </t>
    </r>
    <r>
      <rPr>
        <rFont val="Symbol"/>
        <b/>
        <color theme="1"/>
        <sz val="11.0"/>
      </rPr>
      <t>D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diff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</si>
  <si>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Std. Air Density, </t>
    </r>
    <r>
      <rPr>
        <rFont val="Symbol"/>
        <b/>
        <color theme="1"/>
        <sz val="11.0"/>
      </rPr>
      <t>r</t>
    </r>
    <r>
      <rPr>
        <rFont val="Arial"/>
        <b/>
        <color theme="1"/>
        <sz val="11.0"/>
        <vertAlign val="subscript"/>
      </rPr>
      <t>air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</si>
  <si>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kg/m</t>
    </r>
    <r>
      <rPr>
        <rFont val="Arial"/>
        <color theme="1"/>
        <sz val="10.0"/>
        <vertAlign val="superscript"/>
      </rPr>
      <t>3</t>
    </r>
  </si>
  <si>
    <r>
      <rPr>
        <rFont val="Arial"/>
        <color theme="1"/>
        <sz val="10.0"/>
      </rPr>
      <t xml:space="preserve">   (at 0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C, 1 bar)</t>
    </r>
  </si>
  <si>
    <r>
      <rPr>
        <rFont val="Arial"/>
        <color theme="1"/>
        <sz val="10.0"/>
      </rPr>
      <t>Act 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transf effic, A</t>
    </r>
    <r>
      <rPr>
        <rFont val="Arial"/>
        <b/>
        <color theme="1"/>
        <sz val="11.0"/>
      </rPr>
      <t>OTE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</si>
  <si>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Pressure at mid Depth,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</si>
  <si>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Des. Air Flow Rate, 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 =</t>
    </r>
  </si>
  <si>
    <r>
      <rPr>
        <rFont val="Arial"/>
        <b/>
        <color theme="1"/>
        <sz val="10.0"/>
      </rPr>
      <t>Nm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</si>
  <si>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</rPr>
      <t xml:space="preserve">4.  McQuarrie, J.P. and Boltz, J.P., </t>
    </r>
    <r>
      <rPr>
        <rFont val="Arial"/>
        <i/>
        <color theme="1"/>
        <sz val="10.0"/>
      </rPr>
      <t>Moving Bed Biofilm Reactor Technology: Process Applications,</t>
    </r>
  </si>
  <si>
    <r>
      <rPr>
        <rFont val="Arial"/>
        <color theme="1"/>
        <sz val="10.0"/>
      </rPr>
      <t>Des. Air Flow Rate,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/hr =</t>
    </r>
  </si>
  <si>
    <r>
      <rPr>
        <rFont val="Arial"/>
        <b/>
        <color theme="1"/>
        <sz val="10.0"/>
      </rPr>
      <t>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/hr</t>
    </r>
  </si>
  <si>
    <r>
      <rPr>
        <rFont val="Arial"/>
        <color theme="1"/>
      </rPr>
      <t xml:space="preserve">    </t>
    </r>
    <r>
      <rPr>
        <rFont val="Arial"/>
        <i/>
        <color theme="1"/>
        <sz val="10.0"/>
      </rPr>
      <t xml:space="preserve"> Design and Performance</t>
    </r>
    <r>
      <rPr>
        <rFont val="Arial"/>
        <color theme="1"/>
        <sz val="10.0"/>
      </rPr>
      <t>, Water Environment Research, Vol 83, No. 6. June 2011.</t>
    </r>
  </si>
  <si>
    <r>
      <rPr>
        <rFont val="Arial"/>
        <color theme="1"/>
        <sz val="10.0"/>
      </rPr>
      <t xml:space="preserve">  temp. and 1 atm,  </t>
    </r>
    <r>
      <rPr>
        <rFont val="Arial"/>
        <b/>
        <color theme="1"/>
        <sz val="11.0"/>
      </rPr>
      <t>C</t>
    </r>
    <r>
      <rPr>
        <rFont val="Arial"/>
        <b/>
        <color theme="1"/>
        <sz val="11.0"/>
        <vertAlign val="subscript"/>
      </rPr>
      <t>s</t>
    </r>
    <r>
      <rPr>
        <rFont val="Arial"/>
        <color theme="1"/>
        <sz val="10.0"/>
      </rPr>
      <t xml:space="preserve">  =</t>
    </r>
  </si>
  <si>
    <r>
      <rPr>
        <rFont val="Arial"/>
        <color theme="1"/>
        <sz val="10.0"/>
      </rPr>
      <t xml:space="preserve">     Blower Outlet Pressure,</t>
    </r>
    <r>
      <rPr>
        <rFont val="Arial"/>
        <b/>
        <color theme="1"/>
        <sz val="10.0"/>
      </rPr>
      <t xml:space="preserve"> </t>
    </r>
    <r>
      <rPr>
        <rFont val="Arial"/>
        <b/>
        <color theme="1"/>
        <sz val="11.0"/>
      </rPr>
      <t>P</t>
    </r>
    <r>
      <rPr>
        <rFont val="Arial"/>
        <b/>
        <color theme="1"/>
        <sz val="11.0"/>
        <vertAlign val="subscript"/>
      </rPr>
      <t>B2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</si>
  <si>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6. Rusten, B. and Paulsrud, B.,  </t>
    </r>
    <r>
      <rPr>
        <rFont val="Arial"/>
        <i/>
        <color theme="1"/>
        <sz val="10.0"/>
      </rPr>
      <t>Improved Nutrient Removal with Biofilm Reactors</t>
    </r>
    <r>
      <rPr>
        <rFont val="Arial"/>
        <color theme="1"/>
        <sz val="10.0"/>
      </rPr>
      <t>,</t>
    </r>
  </si>
  <si>
    <t>Source for information about Carbon Sources for Denitrification and Required Dosages:</t>
  </si>
  <si>
    <t>https://www.werf.org/c/KnowledgeAreas/NutrientRemoval/compendium/05-Tertiary_Denitrification_Processes.aspx</t>
  </si>
  <si>
    <r>
      <rPr>
        <rFont val="Arial"/>
        <color theme="1"/>
        <sz val="10.0"/>
      </rPr>
      <t xml:space="preserve">     Equiv Wt. of 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</si>
  <si>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Equiv Wt. of NaHCO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</si>
  <si>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g 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/g NH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removed</t>
    </r>
  </si>
  <si>
    <r>
      <rPr>
        <rFont val="Arial"/>
        <color theme="1"/>
        <sz val="10.0"/>
      </rPr>
      <t xml:space="preserve">  g CaCO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/g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removed</t>
    </r>
  </si>
  <si>
    <r>
      <rPr>
        <rFont val="Arial"/>
        <color theme="1"/>
        <sz val="10.0"/>
      </rPr>
      <t xml:space="preserve">   mg/L as CaCO</t>
    </r>
    <r>
      <rPr>
        <rFont val="Arial"/>
        <color theme="1"/>
        <sz val="10.0"/>
        <vertAlign val="subscript"/>
      </rPr>
      <t>3</t>
    </r>
  </si>
  <si>
    <t>Copyright © 2018 Engineering Excel Templates. All Rights Reserved.</t>
  </si>
  <si>
    <r>
      <rPr>
        <rFont val="Arial"/>
        <color theme="1"/>
        <sz val="10.0"/>
      </rPr>
      <t xml:space="preserve">   kg/day as CaCO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</si>
  <si>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</rPr>
      <t xml:space="preserve">           Daily NaHCO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 xml:space="preserve"> Requirement =</t>
    </r>
  </si>
  <si>
    <r>
      <rPr>
        <rFont val="Arial"/>
        <color theme="1"/>
        <sz val="10.0"/>
      </rPr>
      <t xml:space="preserve">   kg/day NaHCO</t>
    </r>
    <r>
      <rPr>
        <rFont val="Arial"/>
        <color theme="1"/>
        <sz val="10.0"/>
        <vertAlign val="subscript"/>
      </rPr>
      <t>3</t>
    </r>
  </si>
  <si>
    <t>VII. Calculation of Carbon Source Requirements</t>
  </si>
  <si>
    <t xml:space="preserve">                    Carbon Source to be used:</t>
  </si>
  <si>
    <t>Methanol</t>
  </si>
  <si>
    <t>COD Requirement for Denitrification =</t>
  </si>
  <si>
    <r>
      <rPr>
        <rFont val="Arial"/>
        <color theme="1"/>
        <sz val="10.0"/>
      </rPr>
      <t xml:space="preserve">  kg COD/kg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removed</t>
    </r>
  </si>
  <si>
    <t xml:space="preserve">      COD Content of Carbon Source =</t>
  </si>
  <si>
    <t xml:space="preserve">  kg COD/kg Carbon Source</t>
  </si>
  <si>
    <t xml:space="preserve">                  Carbon Source Dosage =</t>
  </si>
  <si>
    <r>
      <rPr>
        <rFont val="Arial"/>
        <color theme="1"/>
        <sz val="10.0"/>
      </rPr>
      <t xml:space="preserve">  kg Carbon Source/kg NO</t>
    </r>
    <r>
      <rPr>
        <rFont val="Arial"/>
        <color theme="1"/>
        <sz val="10.0"/>
        <vertAlign val="subscript"/>
      </rPr>
      <t>3</t>
    </r>
    <r>
      <rPr>
        <rFont val="Arial"/>
        <color theme="1"/>
        <sz val="10.0"/>
      </rPr>
      <t>-N removed</t>
    </r>
  </si>
  <si>
    <t xml:space="preserve">     Daily Carbon Source Requirement =</t>
  </si>
  <si>
    <t xml:space="preserve">   kg/day</t>
  </si>
  <si>
    <t>Derivation of Equation for Saturation DO Concentration at WW Temperature:</t>
  </si>
  <si>
    <t>Sat'n DO</t>
  </si>
  <si>
    <r>
      <rPr>
        <rFont val="Arial"/>
        <color theme="1"/>
        <sz val="10.0"/>
        <u/>
      </rPr>
      <t xml:space="preserve">T, </t>
    </r>
    <r>
      <rPr>
        <rFont val="Arial"/>
        <color theme="1"/>
        <sz val="10.0"/>
        <u/>
        <vertAlign val="superscript"/>
      </rPr>
      <t>o</t>
    </r>
    <r>
      <rPr>
        <rFont val="Arial"/>
        <color theme="1"/>
        <sz val="10.0"/>
        <u/>
      </rPr>
      <t>C</t>
    </r>
  </si>
  <si>
    <t xml:space="preserve">             Source for DO vs T data:    USGS website at:</t>
  </si>
  <si>
    <t>http://water.usgs.gov/software/DOTABLES/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</si>
</sst>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00"/>
    <numFmt numFmtId="166" formatCode="0.0000"/>
    <numFmt numFmtId="167" formatCode="0.0%"/>
  </numFmts>
  <fonts count="4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rgb="FF000000"/>
      <name val="Calibri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8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u/>
      <color rgb="FF0000FF"/>
    </font>
    <font>
      <b/>
      <u/>
      <sz val="12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b/>
      <sz val="10.0"/>
      <color rgb="FF7030A0"/>
      <name val="Arial"/>
    </font>
    <font>
      <b/>
      <sz val="10.0"/>
      <color rgb="FF0070C0"/>
      <name val="Arial"/>
    </font>
    <font>
      <u/>
      <sz val="10.0"/>
      <color rgb="FF0000FF"/>
      <name val="Arial"/>
    </font>
    <font>
      <b/>
      <sz val="11.0"/>
      <color rgb="FF0000FF"/>
      <name val="Arial"/>
    </font>
    <font/>
    <font>
      <b/>
      <sz val="10.0"/>
      <color rgb="FF00008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0000FF"/>
      <name val="Times New Roman"/>
    </font>
    <font>
      <b/>
      <sz val="11.0"/>
      <color rgb="FFC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vertAlign val="superscript"/>
      <sz val="10.0"/>
      <color theme="1"/>
      <name val="Arial"/>
    </font>
    <font>
      <b/>
      <u/>
      <sz val="11.0"/>
      <color theme="1"/>
      <name val="Arial"/>
    </font>
    <font>
      <sz val="11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b/>
      <sz val="12.0"/>
      <color theme="1"/>
      <name val="Calibri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rgb="FFFFCC99"/>
        <bgColor rgb="FFFFCC99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Font="1"/>
    <xf borderId="0" fillId="0" fontId="8" numFmtId="0" xfId="0" applyFont="1"/>
    <xf borderId="0" fillId="0" fontId="5" numFmtId="0" xfId="0" applyFont="1"/>
    <xf borderId="1" fillId="0" fontId="9" numFmtId="0" xfId="0" applyBorder="1" applyFont="1"/>
    <xf borderId="2" fillId="0" fontId="9" numFmtId="0" xfId="0" applyBorder="1" applyFont="1"/>
    <xf borderId="2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left"/>
    </xf>
    <xf borderId="3" fillId="0" fontId="9" numFmtId="0" xfId="0" applyBorder="1" applyFont="1"/>
    <xf borderId="4" fillId="0" fontId="11" numFmtId="0" xfId="0" applyBorder="1" applyFont="1"/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5" fillId="0" fontId="9" numFmtId="0" xfId="0" applyBorder="1" applyFont="1"/>
    <xf borderId="0" fillId="0" fontId="11" numFmtId="0" xfId="0" applyFont="1"/>
    <xf borderId="4" fillId="0" fontId="9" numFmtId="0" xfId="0" applyBorder="1" applyFont="1"/>
    <xf borderId="0" fillId="0" fontId="12" numFmtId="0" xfId="0" applyAlignment="1" applyFont="1">
      <alignment horizontal="center"/>
    </xf>
    <xf borderId="6" fillId="0" fontId="9" numFmtId="0" xfId="0" applyBorder="1" applyFont="1"/>
    <xf borderId="7" fillId="0" fontId="9" numFmtId="0" xfId="0" applyBorder="1" applyFont="1"/>
    <xf borderId="8" fillId="0" fontId="10" numFmtId="0" xfId="0" applyAlignment="1" applyBorder="1" applyFont="1">
      <alignment horizontal="left"/>
    </xf>
    <xf borderId="0" fillId="0" fontId="13" numFmtId="0" xfId="0" applyFont="1"/>
    <xf borderId="0" fillId="0" fontId="14" numFmtId="0" xfId="0" applyFont="1"/>
    <xf borderId="0" fillId="0" fontId="15" numFmtId="0" xfId="0" applyFont="1"/>
    <xf borderId="9" fillId="2" fontId="2" numFmtId="0" xfId="0" applyBorder="1" applyFill="1" applyFont="1"/>
    <xf borderId="10" fillId="2" fontId="9" numFmtId="0" xfId="0" applyBorder="1" applyFont="1"/>
    <xf borderId="11" fillId="2" fontId="9" numFmtId="0" xfId="0" applyBorder="1" applyFont="1"/>
    <xf borderId="0" fillId="0" fontId="16" numFmtId="0" xfId="0" applyFont="1"/>
    <xf borderId="0" fillId="0" fontId="17" numFmtId="0" xfId="0" applyFont="1"/>
    <xf borderId="0" fillId="0" fontId="9" numFmtId="0" xfId="0" applyAlignment="1" applyFont="1">
      <alignment horizontal="left" vertical="center"/>
    </xf>
    <xf borderId="0" fillId="0" fontId="9" numFmtId="0" xfId="0" applyFont="1"/>
    <xf borderId="12" fillId="2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/>
    </xf>
    <xf borderId="12" fillId="2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18" numFmtId="0" xfId="0" applyFont="1"/>
    <xf borderId="12" fillId="2" fontId="9" numFmtId="164" xfId="0" applyAlignment="1" applyBorder="1" applyFont="1" applyNumberFormat="1">
      <alignment horizontal="center"/>
    </xf>
    <xf borderId="0" fillId="0" fontId="19" numFmtId="0" xfId="0" applyFont="1"/>
    <xf borderId="12" fillId="2" fontId="9" numFmtId="2" xfId="0" applyAlignment="1" applyBorder="1" applyFont="1" applyNumberFormat="1">
      <alignment horizontal="center"/>
    </xf>
    <xf borderId="0" fillId="0" fontId="20" numFmtId="0" xfId="0" applyFont="1"/>
    <xf borderId="0" fillId="0" fontId="21" numFmtId="0" xfId="0" applyAlignment="1" applyFont="1">
      <alignment vertical="center"/>
    </xf>
    <xf borderId="0" fillId="0" fontId="22" numFmtId="0" xfId="0" applyFont="1"/>
    <xf borderId="0" fillId="0" fontId="21" numFmtId="0" xfId="0" applyAlignment="1" applyFont="1">
      <alignment vertical="top"/>
    </xf>
    <xf borderId="0" fillId="0" fontId="22" numFmtId="0" xfId="0" applyAlignment="1" applyFont="1">
      <alignment vertical="center"/>
    </xf>
    <xf borderId="0" fillId="0" fontId="22" numFmtId="0" xfId="0" applyAlignment="1" applyFont="1">
      <alignment vertical="top"/>
    </xf>
    <xf borderId="12" fillId="3" fontId="9" numFmtId="165" xfId="0" applyAlignment="1" applyBorder="1" applyFill="1" applyFont="1" applyNumberFormat="1">
      <alignment horizontal="center"/>
    </xf>
    <xf borderId="0" fillId="0" fontId="21" numFmtId="0" xfId="0" applyFont="1"/>
    <xf borderId="12" fillId="2" fontId="9" numFmtId="165" xfId="0" applyAlignment="1" applyBorder="1" applyFont="1" applyNumberFormat="1">
      <alignment horizontal="center"/>
    </xf>
    <xf borderId="0" fillId="0" fontId="20" numFmtId="0" xfId="0" applyAlignment="1" applyFont="1">
      <alignment vertical="top"/>
    </xf>
    <xf borderId="0" fillId="0" fontId="9" numFmtId="0" xfId="0" applyAlignment="1" applyFont="1">
      <alignment horizontal="left" vertical="top"/>
    </xf>
    <xf borderId="13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/>
    </xf>
    <xf borderId="0" fillId="0" fontId="23" numFmtId="0" xfId="0" applyAlignment="1" applyFont="1">
      <alignment vertical="center"/>
    </xf>
    <xf borderId="16" fillId="0" fontId="9" numFmtId="0" xfId="0" applyAlignment="1" applyBorder="1" applyFont="1">
      <alignment horizontal="center"/>
    </xf>
    <xf borderId="17" fillId="0" fontId="9" numFmtId="0" xfId="0" applyAlignment="1" applyBorder="1" applyFont="1">
      <alignment horizontal="center"/>
    </xf>
    <xf borderId="18" fillId="0" fontId="9" numFmtId="0" xfId="0" applyAlignment="1" applyBorder="1" applyFont="1">
      <alignment horizontal="center"/>
    </xf>
    <xf borderId="19" fillId="0" fontId="9" numFmtId="0" xfId="0" applyAlignment="1" applyBorder="1" applyFont="1">
      <alignment horizontal="center"/>
    </xf>
    <xf borderId="20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/>
    </xf>
    <xf borderId="12" fillId="3" fontId="9" numFmtId="9" xfId="0" applyAlignment="1" applyBorder="1" applyFont="1" applyNumberFormat="1">
      <alignment horizontal="center"/>
    </xf>
    <xf borderId="12" fillId="3" fontId="9" numFmtId="2" xfId="0" applyAlignment="1" applyBorder="1" applyFont="1" applyNumberFormat="1">
      <alignment horizontal="center"/>
    </xf>
    <xf borderId="0" fillId="0" fontId="24" numFmtId="0" xfId="0" applyFont="1"/>
    <xf borderId="22" fillId="0" fontId="9" numFmtId="164" xfId="0" applyAlignment="1" applyBorder="1" applyFont="1" applyNumberFormat="1">
      <alignment horizontal="center"/>
    </xf>
    <xf borderId="23" fillId="0" fontId="9" numFmtId="0" xfId="0" applyAlignment="1" applyBorder="1" applyFont="1">
      <alignment horizontal="center"/>
    </xf>
    <xf borderId="24" fillId="0" fontId="9" numFmtId="0" xfId="0" applyAlignment="1" applyBorder="1" applyFont="1">
      <alignment horizontal="center"/>
    </xf>
    <xf borderId="12" fillId="3" fontId="9" numFmtId="164" xfId="0" applyAlignment="1" applyBorder="1" applyFont="1" applyNumberFormat="1">
      <alignment horizontal="center"/>
    </xf>
    <xf borderId="0" fillId="0" fontId="25" numFmtId="0" xfId="0" applyFont="1"/>
    <xf borderId="12" fillId="2" fontId="9" numFmtId="1" xfId="0" applyAlignment="1" applyBorder="1" applyFont="1" applyNumberFormat="1">
      <alignment horizontal="center"/>
    </xf>
    <xf borderId="25" fillId="0" fontId="20" numFmtId="0" xfId="0" applyBorder="1" applyFont="1"/>
    <xf borderId="26" fillId="0" fontId="9" numFmtId="0" xfId="0" applyBorder="1" applyFont="1"/>
    <xf borderId="27" fillId="0" fontId="9" numFmtId="0" xfId="0" applyBorder="1" applyFont="1"/>
    <xf borderId="0" fillId="0" fontId="9" numFmtId="0" xfId="0" applyAlignment="1" applyFont="1">
      <alignment vertical="top"/>
    </xf>
    <xf borderId="28" fillId="0" fontId="20" numFmtId="0" xfId="0" applyAlignment="1" applyBorder="1" applyFont="1">
      <alignment vertical="center"/>
    </xf>
    <xf borderId="29" fillId="0" fontId="9" numFmtId="0" xfId="0" applyBorder="1" applyFont="1"/>
    <xf borderId="30" fillId="0" fontId="9" numFmtId="0" xfId="0" applyBorder="1" applyFont="1"/>
    <xf borderId="31" fillId="4" fontId="19" numFmtId="0" xfId="0" applyAlignment="1" applyBorder="1" applyFill="1" applyFont="1">
      <alignment horizontal="center" vertical="center"/>
    </xf>
    <xf borderId="32" fillId="0" fontId="26" numFmtId="0" xfId="0" applyBorder="1" applyFont="1"/>
    <xf borderId="12" fillId="2" fontId="9" numFmtId="9" xfId="0" applyAlignment="1" applyBorder="1" applyFont="1" applyNumberFormat="1">
      <alignment horizontal="center"/>
    </xf>
    <xf borderId="0" fillId="0" fontId="27" numFmtId="0" xfId="0" applyAlignment="1" applyFont="1">
      <alignment vertical="center"/>
    </xf>
    <xf borderId="0" fillId="0" fontId="9" numFmtId="9" xfId="0" applyFont="1" applyNumberFormat="1"/>
    <xf borderId="0" fillId="0" fontId="27" numFmtId="0" xfId="0" applyAlignment="1" applyFont="1">
      <alignment vertical="top"/>
    </xf>
    <xf borderId="0" fillId="0" fontId="27" numFmtId="0" xfId="0" applyAlignment="1" applyFont="1">
      <alignment horizontal="left"/>
    </xf>
    <xf borderId="0" fillId="0" fontId="27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27" numFmtId="0" xfId="0" applyAlignment="1" applyFont="1">
      <alignment horizontal="left" vertical="top"/>
    </xf>
    <xf borderId="0" fillId="0" fontId="28" numFmtId="0" xfId="0" applyFont="1"/>
    <xf borderId="0" fillId="0" fontId="29" numFmtId="0" xfId="0" applyFont="1"/>
    <xf borderId="12" fillId="3" fontId="9" numFmtId="1" xfId="0" applyAlignment="1" applyBorder="1" applyFont="1" applyNumberFormat="1">
      <alignment horizontal="center"/>
    </xf>
    <xf borderId="0" fillId="0" fontId="30" numFmtId="0" xfId="0" applyFont="1"/>
    <xf borderId="12" fillId="3" fontId="9" numFmtId="166" xfId="0" applyAlignment="1" applyBorder="1" applyFont="1" applyNumberFormat="1">
      <alignment horizontal="center"/>
    </xf>
    <xf borderId="0" fillId="0" fontId="31" numFmtId="0" xfId="0" applyFont="1"/>
    <xf borderId="0" fillId="0" fontId="32" numFmtId="0" xfId="0" applyAlignment="1" applyFont="1">
      <alignment vertical="center"/>
    </xf>
    <xf borderId="0" fillId="0" fontId="9" numFmtId="165" xfId="0" applyFont="1" applyNumberFormat="1"/>
    <xf borderId="0" fillId="0" fontId="9" numFmtId="164" xfId="0" applyAlignment="1" applyFont="1" applyNumberFormat="1">
      <alignment horizontal="center" vertical="center"/>
    </xf>
    <xf borderId="0" fillId="0" fontId="31" numFmtId="0" xfId="0" applyAlignment="1" applyFont="1">
      <alignment vertical="top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horizontal="center" vertical="center"/>
    </xf>
    <xf borderId="12" fillId="2" fontId="9" numFmtId="10" xfId="0" applyAlignment="1" applyBorder="1" applyFont="1" applyNumberFormat="1">
      <alignment horizontal="center"/>
    </xf>
    <xf borderId="12" fillId="2" fontId="9" numFmtId="166" xfId="0" applyAlignment="1" applyBorder="1" applyFont="1" applyNumberFormat="1">
      <alignment horizontal="center"/>
    </xf>
    <xf borderId="12" fillId="3" fontId="9" numFmtId="167" xfId="0" applyAlignment="1" applyBorder="1" applyFont="1" applyNumberFormat="1">
      <alignment horizontal="center"/>
    </xf>
    <xf borderId="12" fillId="5" fontId="19" numFmtId="164" xfId="0" applyAlignment="1" applyBorder="1" applyFill="1" applyFont="1" applyNumberFormat="1">
      <alignment horizontal="center"/>
    </xf>
    <xf borderId="0" fillId="0" fontId="20" numFmtId="0" xfId="0" applyAlignment="1" applyFont="1">
      <alignment horizontal="center" vertical="center"/>
    </xf>
    <xf borderId="12" fillId="5" fontId="19" numFmtId="2" xfId="0" applyAlignment="1" applyBorder="1" applyFont="1" applyNumberFormat="1">
      <alignment horizontal="center" vertical="center"/>
    </xf>
    <xf borderId="0" fillId="0" fontId="20" numFmtId="0" xfId="0" applyAlignment="1" applyFont="1">
      <alignment horizontal="left" vertical="center"/>
    </xf>
    <xf borderId="0" fillId="0" fontId="36" numFmtId="0" xfId="0" applyAlignment="1" applyFont="1">
      <alignment vertical="top"/>
    </xf>
    <xf borderId="12" fillId="2" fontId="9" numFmtId="167" xfId="0" applyAlignment="1" applyBorder="1" applyFont="1" applyNumberFormat="1">
      <alignment horizontal="center"/>
    </xf>
    <xf borderId="0" fillId="0" fontId="37" numFmtId="0" xfId="0" applyFont="1"/>
    <xf borderId="0" fillId="0" fontId="37" numFmtId="0" xfId="0" applyAlignment="1" applyFont="1">
      <alignment vertical="top"/>
    </xf>
    <xf borderId="12" fillId="5" fontId="19" numFmtId="165" xfId="0" applyAlignment="1" applyBorder="1" applyFont="1" applyNumberFormat="1">
      <alignment horizontal="center"/>
    </xf>
    <xf borderId="12" fillId="5" fontId="19" numFmtId="2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12" fillId="3" fontId="9" numFmtId="164" xfId="0" applyAlignment="1" applyBorder="1" applyFont="1" applyNumberFormat="1">
      <alignment horizontal="center" vertical="center"/>
    </xf>
    <xf borderId="0" fillId="0" fontId="38" numFmtId="0" xfId="0" applyAlignment="1" applyFont="1">
      <alignment vertical="center"/>
    </xf>
    <xf borderId="0" fillId="0" fontId="39" numFmtId="0" xfId="0" applyAlignment="1" applyFont="1">
      <alignment horizontal="left" vertical="center"/>
    </xf>
    <xf borderId="8" fillId="0" fontId="9" numFmtId="0" xfId="0" applyBorder="1" applyFont="1"/>
    <xf borderId="0" fillId="0" fontId="9" numFmtId="164" xfId="0" applyAlignment="1" applyFont="1" applyNumberFormat="1">
      <alignment horizontal="center"/>
    </xf>
    <xf borderId="29" fillId="0" fontId="20" numFmtId="0" xfId="0" applyBorder="1" applyFont="1"/>
    <xf borderId="0" fillId="0" fontId="40" numFmtId="0" xfId="0" applyAlignment="1" applyFont="1">
      <alignment horizontal="center"/>
    </xf>
    <xf borderId="0" fillId="0" fontId="9" numFmtId="2" xfId="0" applyAlignment="1" applyFont="1" applyNumberFormat="1">
      <alignment horizontal="center"/>
    </xf>
    <xf borderId="0" fillId="0" fontId="41" numFmtId="0" xfId="0" applyFont="1"/>
    <xf borderId="0" fillId="0" fontId="4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18</xdr:row>
      <xdr:rowOff>38100</xdr:rowOff>
    </xdr:from>
    <xdr:ext cx="4257675" cy="1581150"/>
    <xdr:pic>
      <xdr:nvPicPr>
        <xdr:cNvPr descr="C:\Users\Harlan\Documents\USB Folder_3_2013\Backup of 2 G Drive\Excel Spreadsheets for Sale\MBBR Design Calculations\SALR design values-Denitrif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0</xdr:row>
      <xdr:rowOff>142875</xdr:rowOff>
    </xdr:from>
    <xdr:ext cx="6124575" cy="1752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342900</xdr:colOff>
      <xdr:row>0</xdr:row>
      <xdr:rowOff>161925</xdr:rowOff>
    </xdr:from>
    <xdr:ext cx="4181475" cy="20478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15</xdr:row>
      <xdr:rowOff>95250</xdr:rowOff>
    </xdr:from>
    <xdr:ext cx="4229100" cy="15811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25</xdr:row>
      <xdr:rowOff>66675</xdr:rowOff>
    </xdr:from>
    <xdr:ext cx="4352925" cy="17335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24</xdr:row>
      <xdr:rowOff>0</xdr:rowOff>
    </xdr:from>
    <xdr:ext cx="3324225" cy="228600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600075</xdr:colOff>
      <xdr:row>38</xdr:row>
      <xdr:rowOff>0</xdr:rowOff>
    </xdr:from>
    <xdr:ext cx="3933825" cy="1466850"/>
    <xdr:pic>
      <xdr:nvPicPr>
        <xdr:cNvPr descr="C:\Users\Harlan\Documents\USB Folder_3_2013\Backup of 2 G Drive\Excel Spreadsheets for Sale\MBBR Design Calculations\SALR design values-Denitrif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0</xdr:row>
      <xdr:rowOff>104775</xdr:rowOff>
    </xdr:from>
    <xdr:ext cx="5267325" cy="1504950"/>
    <xdr:pic>
      <xdr:nvPicPr>
        <xdr:cNvPr descr="C:\Users\Harlan\Documents\USB Folder_3_2013\Backup of 2 G Drive\Excel Spreadsheets for Sale\MBBR Design Calculations\Flow Diag-Post-Denitrification.png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419100</xdr:colOff>
      <xdr:row>0</xdr:row>
      <xdr:rowOff>238125</xdr:rowOff>
    </xdr:from>
    <xdr:ext cx="4314825" cy="12858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36</xdr:row>
      <xdr:rowOff>133350</xdr:rowOff>
    </xdr:from>
    <xdr:ext cx="4686300" cy="22288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16</xdr:row>
      <xdr:rowOff>76200</xdr:rowOff>
    </xdr:from>
    <xdr:ext cx="4143375" cy="16573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200025</xdr:colOff>
      <xdr:row>15</xdr:row>
      <xdr:rowOff>57150</xdr:rowOff>
    </xdr:from>
    <xdr:ext cx="3400425" cy="231457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accessengineeringlibrary.com/browse/standard-handbook-of-environmental-engineering-second-edition/p2000a1f99976_93001?utm_source=ActivatedSludge%20US&amp;utm_medium=Excel&amp;utm_content=Corbitt%206.5.1&amp;utm_campaign=blower" TargetMode="External"/><Relationship Id="rId22" Type="http://schemas.openxmlformats.org/officeDocument/2006/relationships/hyperlink" Target="http://www.xylemwatersolutions.com/scs/sweden/sv-se/produkter/cirkulationspumpar/documents/san3.pdf" TargetMode="External"/><Relationship Id="rId21" Type="http://schemas.openxmlformats.org/officeDocument/2006/relationships/hyperlink" Target="http://www.xylemwatersolutions.com/scs/sweden/sv-se/produkter/cirkulationspumpar/documents/san3.pdf" TargetMode="External"/><Relationship Id="rId24" Type="http://schemas.openxmlformats.org/officeDocument/2006/relationships/hyperlink" Target="http://accessengineeringlibrary.com/browse/standard-handbook-of-environmental-engineering-second-edition/p2000a1f99976_93001?utm_source=MBBR%20US&amp;utm_medium=Excel&amp;utm_content=Corbitt%206.5.1&amp;utm_campaign=2SBODRemoval" TargetMode="External"/><Relationship Id="rId23" Type="http://schemas.openxmlformats.org/officeDocument/2006/relationships/hyperlink" Target="http://www.engineeringexceltemplates.com/downloads_main.aspx" TargetMode="External"/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hyperlink" Target="http://www.engineeringexceltemplates.com/downloads_main.aspx" TargetMode="External"/><Relationship Id="rId4" Type="http://schemas.openxmlformats.org/officeDocument/2006/relationships/hyperlink" Target="http://www.engineeringexceltemplates.com/downloads_main.aspx" TargetMode="External"/><Relationship Id="rId9" Type="http://schemas.openxmlformats.org/officeDocument/2006/relationships/hyperlink" Target="http://netedu.xauat.edu.cn/jpkc/netedu/jpkc2009/szylyybh/content/wlzy/7/3/The%20Moving%20Bed%20Biofilm%20Reactor.pdf" TargetMode="External"/><Relationship Id="rId26" Type="http://schemas.openxmlformats.org/officeDocument/2006/relationships/hyperlink" Target="http://netedu.xauat.edu.cn/jpkc/netedu/jpkc2009/szylyybh/content/wlzy/7/3/The%20Moving%20Bed%20Biofilm%20Reactor.pdf" TargetMode="External"/><Relationship Id="rId25" Type="http://schemas.openxmlformats.org/officeDocument/2006/relationships/hyperlink" Target="http://accessengineeringlibrary.com/browse/standard-handbook-of-environmental-engineering-second-edition/p2000a1f99976_93001?utm_source=MBBR%20US&amp;utm_medium=Excel&amp;utm_content=Corbitt%206.5.1&amp;utm_campaign=2SBODRemoval" TargetMode="External"/><Relationship Id="rId28" Type="http://schemas.openxmlformats.org/officeDocument/2006/relationships/hyperlink" Target="https://www.amazon.com/Spreadsheets-MBBR-Denitrification-Design-Calculations-ebook/dp/B01LX2RJVF/ref=sr_1_14?ie=UTF8&amp;qid=1487523197&amp;sr=8-14&amp;keywords=Harlan+Bengtson" TargetMode="External"/><Relationship Id="rId27" Type="http://schemas.openxmlformats.org/officeDocument/2006/relationships/hyperlink" Target="https://www.ndsu.edu/pubweb/nrg/outreach/Moving%20Bed%20Biofilm%20Reactor%20for%20Denitrification%20Corey.pdf" TargetMode="External"/><Relationship Id="rId5" Type="http://schemas.openxmlformats.org/officeDocument/2006/relationships/hyperlink" Target="http://www.engineeringexceltemplates.com/downloads_main.aspx" TargetMode="External"/><Relationship Id="rId6" Type="http://schemas.openxmlformats.org/officeDocument/2006/relationships/hyperlink" Target="http://netedu.xauat.edu.cn/jpkc/netedu/jpkc2009/szylyybh/content/wlzy/7/3/The%20Moving%20Bed%20Biofilm%20Reactor.pdf" TargetMode="External"/><Relationship Id="rId29" Type="http://schemas.openxmlformats.org/officeDocument/2006/relationships/hyperlink" Target="http://www.engineeringexceltemplates.com/downloads_main.aspx" TargetMode="External"/><Relationship Id="rId7" Type="http://schemas.openxmlformats.org/officeDocument/2006/relationships/hyperlink" Target="http://www.engineeringexceltemplates.com/downloads_main.aspx" TargetMode="External"/><Relationship Id="rId8" Type="http://schemas.openxmlformats.org/officeDocument/2006/relationships/hyperlink" Target="http://www.engineeringexceltemplates.com/downloads_main.aspx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://www.engineeringexceltemplates.com/downloads_main.aspx" TargetMode="External"/><Relationship Id="rId10" Type="http://schemas.openxmlformats.org/officeDocument/2006/relationships/hyperlink" Target="http://www.engineeringexceltemplates.com/downloads_main.aspx" TargetMode="External"/><Relationship Id="rId13" Type="http://schemas.openxmlformats.org/officeDocument/2006/relationships/hyperlink" Target="http://www.engineeringexceltemplates.com/downloads_main.aspx" TargetMode="External"/><Relationship Id="rId12" Type="http://schemas.openxmlformats.org/officeDocument/2006/relationships/hyperlink" Target="http://www.engineeringexceltemplates.com/downloads_main.aspx" TargetMode="External"/><Relationship Id="rId15" Type="http://schemas.openxmlformats.org/officeDocument/2006/relationships/hyperlink" Target="http://www.xylemwatersolutions.com/scs/sweden/sv-se/produkter/cirkulationspumpar/documents/san3.pdf" TargetMode="External"/><Relationship Id="rId14" Type="http://schemas.openxmlformats.org/officeDocument/2006/relationships/hyperlink" Target="http://www.engineeringexceltemplates.com/downloads_main.aspx" TargetMode="External"/><Relationship Id="rId17" Type="http://schemas.openxmlformats.org/officeDocument/2006/relationships/hyperlink" Target="http://www.accessengineeringlibrary.com/browse/biofilm-reactors-wef-mop-35/p2001c2fa9970211001" TargetMode="External"/><Relationship Id="rId16" Type="http://schemas.openxmlformats.org/officeDocument/2006/relationships/hyperlink" Target="http://www.xylemwatersolutions.com/scs/sweden/sv-se/produkter/cirkulationspumpar/documents/san3.pdf" TargetMode="External"/><Relationship Id="rId19" Type="http://schemas.openxmlformats.org/officeDocument/2006/relationships/hyperlink" Target="http://www.accessengineeringlibrary.com/browse/biofilm-reactors-wef-mop-35/p2001c2fa9970211001" TargetMode="External"/><Relationship Id="rId18" Type="http://schemas.openxmlformats.org/officeDocument/2006/relationships/hyperlink" Target="http://www.accessengineeringlibrary.com/browse/biofilm-reactors-wef-mop-35/p2001c2fa99702110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accessengineeringlibrary.com/browse/biofilm-reactors-wef-mop-35/p2001c2fa9970211001" TargetMode="External"/><Relationship Id="rId2" Type="http://schemas.openxmlformats.org/officeDocument/2006/relationships/hyperlink" Target="http://www.xylemwatersolutions.com/scs/sweden/sv-se/produkter/cirkulationspumpar/documents/san3.pdf" TargetMode="External"/><Relationship Id="rId3" Type="http://schemas.openxmlformats.org/officeDocument/2006/relationships/hyperlink" Target="http://www.xylemwatersolutions.com/scs/sweden/sv-se/produkter/cirkulationspumpar/documents/san3.pdf" TargetMode="External"/><Relationship Id="rId4" Type="http://schemas.openxmlformats.org/officeDocument/2006/relationships/hyperlink" Target="http://netedu.xauat.edu.cn/jpkc/netedu/jpkc2009/szylyybh/content/wlzy/7/3/The%20Moving%20Bed%20Biofilm%20Reactor.pdf" TargetMode="External"/><Relationship Id="rId9" Type="http://schemas.openxmlformats.org/officeDocument/2006/relationships/hyperlink" Target="http://www.werf.org/c/KnowledgeAreas/NutrientRemoval/compendium/05-Tertiary_Denitrification_Processes.aspx" TargetMode="External"/><Relationship Id="rId5" Type="http://schemas.openxmlformats.org/officeDocument/2006/relationships/hyperlink" Target="http://netedu.xauat.edu.cn/jpkc/netedu/jpkc2009/szylyybh/content/wlzy/7/3/The%20Moving%20Bed%20Biofilm%20Reactor.pdf" TargetMode="External"/><Relationship Id="rId6" Type="http://schemas.openxmlformats.org/officeDocument/2006/relationships/hyperlink" Target="http://netedu.xauat.edu.cn/jpkc/netedu/jpkc2009/szylyybh/content/wlzy/7/3/The%20Moving%20Bed%20Biofilm%20Reactor.pdf" TargetMode="External"/><Relationship Id="rId7" Type="http://schemas.openxmlformats.org/officeDocument/2006/relationships/hyperlink" Target="http://www.engineeringexceltemplates.com/downloads_main.aspx" TargetMode="External"/><Relationship Id="rId8" Type="http://schemas.openxmlformats.org/officeDocument/2006/relationships/hyperlink" Target="https://www.ndsu.edu/pubweb/nrg/outreach/Moving%20Bed%20Biofilm%20Reactor%20for%20Denitrification%20Corey.pdf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://www.engineeringexceltemplates.com/downloads_main.asp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8.63"/>
    <col customWidth="1" min="11" max="11" width="5.25"/>
    <col customWidth="1" min="12" max="26" width="8.63"/>
  </cols>
  <sheetData>
    <row r="1" ht="12.75" customHeight="1">
      <c r="C1" s="1" t="s">
        <v>0</v>
      </c>
      <c r="L1" s="2" t="s">
        <v>1</v>
      </c>
      <c r="M1" s="3"/>
    </row>
    <row r="2" ht="12.75" customHeight="1">
      <c r="A2" s="2"/>
      <c r="L2" s="3"/>
      <c r="M2" s="3"/>
    </row>
    <row r="3" ht="12.75" customHeight="1">
      <c r="A3" s="4" t="s">
        <v>2</v>
      </c>
      <c r="L3" s="3" t="s">
        <v>3</v>
      </c>
      <c r="M3" s="3"/>
    </row>
    <row r="4" ht="12.75" customHeight="1">
      <c r="A4" s="4"/>
      <c r="L4" s="3" t="s">
        <v>4</v>
      </c>
      <c r="M4" s="3"/>
    </row>
    <row r="5" ht="12.75" customHeight="1">
      <c r="A5" s="4"/>
      <c r="B5" s="4" t="s">
        <v>5</v>
      </c>
      <c r="L5" s="3" t="s">
        <v>6</v>
      </c>
      <c r="M5" s="3"/>
    </row>
    <row r="6" ht="12.75" customHeight="1">
      <c r="A6" s="4"/>
      <c r="L6" s="3" t="s">
        <v>7</v>
      </c>
      <c r="M6" s="3"/>
    </row>
    <row r="7" ht="12.75" customHeight="1">
      <c r="A7" s="4"/>
      <c r="B7" s="4" t="s">
        <v>8</v>
      </c>
      <c r="L7" s="3"/>
      <c r="M7" s="3"/>
    </row>
    <row r="8" ht="12.75" customHeight="1">
      <c r="A8" s="4"/>
      <c r="B8" s="4"/>
      <c r="L8" s="3" t="s">
        <v>9</v>
      </c>
      <c r="M8" s="3"/>
    </row>
    <row r="9" ht="12.75" customHeight="1">
      <c r="A9" s="4"/>
      <c r="B9" s="4" t="s">
        <v>10</v>
      </c>
      <c r="L9" s="3" t="s">
        <v>11</v>
      </c>
      <c r="M9" s="3"/>
    </row>
    <row r="10" ht="12.75" customHeight="1">
      <c r="A10" s="4"/>
      <c r="B10" s="4"/>
      <c r="L10" s="3" t="s">
        <v>12</v>
      </c>
      <c r="M10" s="3"/>
    </row>
    <row r="11" ht="12.75" customHeight="1">
      <c r="A11" s="4"/>
      <c r="B11" s="2" t="s">
        <v>13</v>
      </c>
      <c r="L11" s="3" t="s">
        <v>14</v>
      </c>
      <c r="M11" s="3"/>
    </row>
    <row r="12" ht="12.75" customHeight="1">
      <c r="B12" s="4"/>
      <c r="L12" s="3" t="s">
        <v>15</v>
      </c>
      <c r="M12" s="3"/>
    </row>
    <row r="13" ht="12.75" customHeight="1">
      <c r="B13" s="4"/>
      <c r="L13" s="3" t="s">
        <v>16</v>
      </c>
    </row>
    <row r="14" ht="12.75" customHeight="1">
      <c r="A14" s="5" t="s">
        <v>17</v>
      </c>
    </row>
    <row r="15" ht="12.75" customHeight="1">
      <c r="A15" s="6" t="s">
        <v>18</v>
      </c>
      <c r="B15" s="4"/>
      <c r="L15" s="3" t="s">
        <v>19</v>
      </c>
    </row>
    <row r="16" ht="12.75" customHeight="1">
      <c r="A16" s="6" t="s">
        <v>20</v>
      </c>
      <c r="L16" s="3" t="s">
        <v>21</v>
      </c>
    </row>
    <row r="17" ht="12.75" customHeight="1">
      <c r="A17" s="6" t="s">
        <v>22</v>
      </c>
      <c r="B17" s="7"/>
      <c r="L17" s="3" t="s">
        <v>23</v>
      </c>
    </row>
    <row r="18" ht="12.75" customHeight="1">
      <c r="A18" s="6" t="s">
        <v>24</v>
      </c>
      <c r="B18" s="7"/>
      <c r="L18" s="3" t="s">
        <v>25</v>
      </c>
    </row>
    <row r="19" ht="12.75" customHeight="1">
      <c r="A19" s="6" t="s">
        <v>26</v>
      </c>
      <c r="B19" s="7"/>
      <c r="L19" s="8" t="s">
        <v>27</v>
      </c>
    </row>
    <row r="20" ht="12.75" customHeight="1">
      <c r="A20" s="6" t="s">
        <v>28</v>
      </c>
      <c r="B20" s="7"/>
    </row>
    <row r="21" ht="12.75" customHeight="1">
      <c r="A21" s="6" t="s">
        <v>29</v>
      </c>
      <c r="B21" s="7"/>
      <c r="L21" s="3" t="s">
        <v>30</v>
      </c>
    </row>
    <row r="22" ht="12.75" customHeight="1">
      <c r="A22" s="6" t="s">
        <v>31</v>
      </c>
      <c r="B22" s="7"/>
      <c r="L22" s="3" t="s">
        <v>32</v>
      </c>
    </row>
    <row r="23" ht="12.75" customHeight="1">
      <c r="B23" s="7"/>
      <c r="L23" s="3" t="s">
        <v>33</v>
      </c>
    </row>
    <row r="24" ht="12.75" customHeight="1">
      <c r="A24" s="2" t="s">
        <v>34</v>
      </c>
      <c r="B24" s="7"/>
      <c r="L24" s="3"/>
    </row>
    <row r="25" ht="12.75" customHeight="1">
      <c r="A25" s="9" t="s">
        <v>35</v>
      </c>
      <c r="B25" s="7"/>
      <c r="L25" s="3" t="s">
        <v>36</v>
      </c>
    </row>
    <row r="26" ht="12.75" customHeight="1">
      <c r="L26" s="3" t="s">
        <v>37</v>
      </c>
      <c r="M26" s="3"/>
    </row>
    <row r="27" ht="12.75" customHeight="1">
      <c r="L27" s="3" t="s">
        <v>38</v>
      </c>
      <c r="M27" s="3"/>
    </row>
    <row r="28" ht="12.75" customHeight="1"/>
    <row r="29" ht="12.75" customHeight="1"/>
    <row r="30" ht="12.75" customHeight="1">
      <c r="B30" s="10"/>
      <c r="C30" s="11"/>
      <c r="D30" s="11"/>
      <c r="E30" s="12"/>
      <c r="F30" s="12"/>
      <c r="G30" s="13"/>
      <c r="H30" s="11"/>
      <c r="I30" s="14"/>
    </row>
    <row r="31" ht="21.0" customHeight="1">
      <c r="B31" s="15" t="s">
        <v>39</v>
      </c>
      <c r="C31" s="16"/>
      <c r="D31" s="16"/>
      <c r="E31" s="17"/>
      <c r="F31" s="17"/>
      <c r="G31" s="16"/>
      <c r="I31" s="18"/>
    </row>
    <row r="32" ht="12.75" customHeight="1">
      <c r="A32" s="19"/>
      <c r="B32" s="20"/>
      <c r="D32" s="21" t="s">
        <v>40</v>
      </c>
      <c r="I32" s="18"/>
    </row>
    <row r="33" ht="12.75" customHeight="1">
      <c r="B33" s="22"/>
      <c r="C33" s="23"/>
      <c r="D33" s="23"/>
      <c r="E33" s="23"/>
      <c r="F33" s="23"/>
      <c r="G33" s="23"/>
      <c r="H33" s="23"/>
      <c r="I33" s="24"/>
    </row>
    <row r="34" ht="12.75" customHeight="1"/>
    <row r="35" ht="12.75" customHeight="1">
      <c r="B35" s="25" t="s">
        <v>41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32:H32"/>
  </mergeCells>
  <hyperlinks>
    <hyperlink r:id="rId1" ref="D32"/>
  </hyperlinks>
  <printOptions/>
  <pageMargins bottom="0.59" footer="0.0" header="0.0" left="0.64" right="0.64" top="0.52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2.88"/>
    <col customWidth="1" min="3" max="3" width="9.88"/>
    <col customWidth="1" min="4" max="4" width="8.63"/>
    <col customWidth="1" min="5" max="5" width="7.0"/>
    <col customWidth="1" min="6" max="6" width="13.13"/>
    <col customWidth="1" min="7" max="7" width="12.38"/>
    <col customWidth="1" min="8" max="8" width="10.13"/>
    <col customWidth="1" min="9" max="9" width="8.63"/>
    <col customWidth="1" min="10" max="10" width="8.88"/>
    <col customWidth="1" min="11" max="11" width="8.63"/>
    <col customWidth="1" min="12" max="12" width="12.38"/>
    <col customWidth="1" min="13" max="13" width="14.88"/>
    <col customWidth="1" min="14" max="19" width="8.63"/>
    <col customWidth="1" min="20" max="20" width="5.0"/>
    <col customWidth="1" min="21" max="27" width="8.63"/>
  </cols>
  <sheetData>
    <row r="1" ht="12.75" customHeight="1">
      <c r="A1" s="26" t="s">
        <v>42</v>
      </c>
      <c r="M1" s="27"/>
    </row>
    <row r="2" ht="12.75" customHeight="1">
      <c r="A2" s="19" t="s">
        <v>43</v>
      </c>
    </row>
    <row r="3" ht="12.75" customHeight="1"/>
    <row r="4" ht="12.75" customHeight="1">
      <c r="A4" s="28" t="s">
        <v>44</v>
      </c>
      <c r="B4" s="29"/>
      <c r="C4" s="29"/>
      <c r="D4" s="29"/>
      <c r="E4" s="29"/>
      <c r="F4" s="29"/>
      <c r="G4" s="29"/>
      <c r="H4" s="29"/>
      <c r="I4" s="30"/>
      <c r="M4" s="27"/>
    </row>
    <row r="5" ht="17.25" customHeight="1"/>
    <row r="6" ht="12.75" customHeight="1">
      <c r="A6" s="31" t="s">
        <v>45</v>
      </c>
      <c r="M6" s="27"/>
    </row>
    <row r="7" ht="16.5" customHeight="1"/>
    <row r="8" ht="17.25" customHeight="1">
      <c r="A8" s="32" t="s">
        <v>46</v>
      </c>
      <c r="B8" s="4"/>
      <c r="C8" s="4"/>
      <c r="D8" s="4"/>
      <c r="M8" s="27"/>
    </row>
    <row r="9" ht="13.5" customHeight="1"/>
    <row r="10" ht="18.0" customHeight="1">
      <c r="A10" s="33" t="s">
        <v>47</v>
      </c>
      <c r="B10" s="34"/>
      <c r="C10" s="35">
        <v>760.0</v>
      </c>
      <c r="D10" s="36" t="s">
        <v>48</v>
      </c>
      <c r="F10" s="37" t="s">
        <v>49</v>
      </c>
      <c r="G10" s="34"/>
      <c r="H10" s="38">
        <v>180.0</v>
      </c>
      <c r="I10" s="39" t="s">
        <v>50</v>
      </c>
    </row>
    <row r="11" ht="17.25" customHeight="1">
      <c r="A11" s="37" t="s">
        <v>51</v>
      </c>
      <c r="B11" s="34"/>
      <c r="C11" s="38">
        <v>25.0</v>
      </c>
      <c r="D11" s="39" t="s">
        <v>50</v>
      </c>
      <c r="F11" s="37" t="s">
        <v>52</v>
      </c>
      <c r="G11" s="34"/>
      <c r="H11" s="38">
        <v>0.0</v>
      </c>
      <c r="I11" s="39" t="s">
        <v>50</v>
      </c>
    </row>
    <row r="12" ht="18.0" customHeight="1">
      <c r="A12" s="37" t="s">
        <v>53</v>
      </c>
      <c r="B12" s="4"/>
      <c r="C12" s="38">
        <v>4.0</v>
      </c>
      <c r="D12" s="8" t="s">
        <v>54</v>
      </c>
      <c r="G12" s="38">
        <v>140.0</v>
      </c>
      <c r="H12" s="37" t="s">
        <v>55</v>
      </c>
      <c r="K12" s="34" t="s">
        <v>56</v>
      </c>
      <c r="M12" s="27"/>
    </row>
    <row r="13" ht="12.75" customHeight="1">
      <c r="K13" s="40" t="s">
        <v>57</v>
      </c>
    </row>
    <row r="14" ht="16.5" customHeight="1">
      <c r="A14" s="32" t="s">
        <v>58</v>
      </c>
      <c r="K14" s="40" t="s">
        <v>59</v>
      </c>
      <c r="V14" s="8" t="s">
        <v>60</v>
      </c>
    </row>
    <row r="15" ht="16.5" customHeight="1">
      <c r="F15" s="8" t="s">
        <v>61</v>
      </c>
      <c r="G15" s="37"/>
      <c r="H15" s="34"/>
      <c r="V15" s="8" t="s">
        <v>62</v>
      </c>
    </row>
    <row r="16" ht="18.75" customHeight="1">
      <c r="A16" s="37" t="s">
        <v>63</v>
      </c>
      <c r="B16" s="34"/>
      <c r="C16" s="38">
        <v>9.0</v>
      </c>
      <c r="D16" s="39" t="s">
        <v>50</v>
      </c>
      <c r="F16" s="34" t="s">
        <v>64</v>
      </c>
      <c r="G16" s="34"/>
      <c r="H16" s="38">
        <v>0.2</v>
      </c>
      <c r="I16" s="41">
        <v>0.5</v>
      </c>
      <c r="L16" s="42" t="s">
        <v>65</v>
      </c>
    </row>
    <row r="17" ht="18.75" customHeight="1">
      <c r="A17" s="37" t="s">
        <v>66</v>
      </c>
      <c r="B17" s="34"/>
      <c r="C17" s="43">
        <v>1.5227817745803365</v>
      </c>
      <c r="F17" s="44" t="s">
        <v>67</v>
      </c>
      <c r="H17" s="38">
        <v>0.95</v>
      </c>
      <c r="I17" s="43">
        <v>0.94</v>
      </c>
      <c r="L17" s="8" t="s">
        <v>68</v>
      </c>
    </row>
    <row r="18" ht="18.75" customHeight="1">
      <c r="A18" s="45" t="s">
        <v>69</v>
      </c>
      <c r="E18" s="46" t="s">
        <v>70</v>
      </c>
      <c r="J18" s="27"/>
      <c r="L18" s="27"/>
    </row>
    <row r="19" ht="19.5" customHeight="1">
      <c r="A19" s="47" t="s">
        <v>71</v>
      </c>
      <c r="E19" s="48" t="s">
        <v>72</v>
      </c>
      <c r="J19" s="44"/>
      <c r="L19" s="27"/>
    </row>
    <row r="20" ht="17.25" customHeight="1">
      <c r="A20" s="37" t="s">
        <v>73</v>
      </c>
      <c r="E20" s="49" t="s">
        <v>74</v>
      </c>
    </row>
    <row r="21" ht="16.5" customHeight="1">
      <c r="A21" s="37" t="s">
        <v>75</v>
      </c>
      <c r="C21" s="38">
        <v>0.9</v>
      </c>
      <c r="D21" s="36" t="s">
        <v>76</v>
      </c>
      <c r="F21" s="34" t="s">
        <v>77</v>
      </c>
      <c r="I21" s="50">
        <f>SLOPE(H17:I17,H16:I16)</f>
        <v>-0.03333333333</v>
      </c>
    </row>
    <row r="22" ht="15.75" customHeight="1">
      <c r="A22" s="51" t="s">
        <v>78</v>
      </c>
      <c r="F22" s="34" t="s">
        <v>79</v>
      </c>
      <c r="I22" s="50">
        <f>INTERCEPT(H17:I17,H16:I16)</f>
        <v>0.9566666667</v>
      </c>
      <c r="K22" s="27"/>
    </row>
    <row r="23" ht="18.0" customHeight="1">
      <c r="A23" s="51" t="s">
        <v>80</v>
      </c>
      <c r="F23" s="37" t="s">
        <v>81</v>
      </c>
      <c r="I23" s="50">
        <f>(I21*C21)+I22</f>
        <v>0.9266666667</v>
      </c>
    </row>
    <row r="24" ht="17.25" customHeight="1">
      <c r="E24" s="34" t="s">
        <v>82</v>
      </c>
      <c r="F24" s="34"/>
      <c r="S24" s="44" t="s">
        <v>83</v>
      </c>
    </row>
    <row r="25" ht="25.5" customHeight="1">
      <c r="A25" s="32" t="s">
        <v>84</v>
      </c>
    </row>
    <row r="26" ht="16.5" customHeight="1">
      <c r="F26" s="8" t="s">
        <v>61</v>
      </c>
      <c r="G26" s="37"/>
      <c r="H26" s="34"/>
      <c r="M26" s="27"/>
    </row>
    <row r="27" ht="16.5" customHeight="1">
      <c r="A27" s="37" t="s">
        <v>85</v>
      </c>
      <c r="F27" s="34" t="s">
        <v>86</v>
      </c>
      <c r="G27" s="34"/>
      <c r="H27" s="38">
        <v>7.5</v>
      </c>
      <c r="I27" s="41">
        <v>15.0</v>
      </c>
    </row>
    <row r="28" ht="18.0" customHeight="1">
      <c r="A28" s="37" t="s">
        <v>87</v>
      </c>
      <c r="C28" s="38">
        <v>6.0</v>
      </c>
      <c r="D28" s="36" t="s">
        <v>88</v>
      </c>
      <c r="F28" s="44" t="s">
        <v>67</v>
      </c>
      <c r="H28" s="38">
        <v>0.925</v>
      </c>
      <c r="I28" s="52">
        <v>0.875</v>
      </c>
      <c r="M28" s="27"/>
    </row>
    <row r="29" ht="18.75" customHeight="1">
      <c r="A29" s="51" t="s">
        <v>78</v>
      </c>
      <c r="E29" s="46" t="s">
        <v>89</v>
      </c>
      <c r="F29" s="46"/>
      <c r="M29" s="27"/>
    </row>
    <row r="30" ht="18.75" customHeight="1">
      <c r="A30" s="47" t="s">
        <v>80</v>
      </c>
      <c r="E30" s="49" t="s">
        <v>90</v>
      </c>
      <c r="F30" s="49"/>
      <c r="M30" s="27"/>
    </row>
    <row r="31" ht="17.25" customHeight="1">
      <c r="A31" s="37" t="s">
        <v>91</v>
      </c>
      <c r="C31" s="50">
        <f>(I31*C28)+I32</f>
        <v>0.935</v>
      </c>
      <c r="F31" s="34" t="s">
        <v>77</v>
      </c>
      <c r="I31" s="50">
        <f>SLOPE(H28:I28,H27:I27)</f>
        <v>-0.006666666667</v>
      </c>
    </row>
    <row r="32" ht="18.0" customHeight="1">
      <c r="A32" s="34" t="s">
        <v>82</v>
      </c>
      <c r="F32" s="34" t="s">
        <v>79</v>
      </c>
      <c r="I32" s="50">
        <f>INTERCEPT(H28:I28,H27:I27)</f>
        <v>0.975</v>
      </c>
    </row>
    <row r="33" ht="21.75" customHeight="1"/>
    <row r="34" ht="16.5" customHeight="1">
      <c r="A34" s="32" t="s">
        <v>92</v>
      </c>
      <c r="M34" s="27"/>
    </row>
    <row r="35" ht="15.0" customHeight="1">
      <c r="G35" s="37"/>
      <c r="H35" s="34"/>
      <c r="K35" s="53" t="s">
        <v>93</v>
      </c>
      <c r="S35" s="54" t="s">
        <v>94</v>
      </c>
    </row>
    <row r="36" ht="18.75" customHeight="1">
      <c r="A36" s="34" t="s">
        <v>95</v>
      </c>
      <c r="C36" s="38">
        <v>15.0</v>
      </c>
      <c r="D36" s="36" t="s">
        <v>96</v>
      </c>
      <c r="E36" s="37" t="s">
        <v>97</v>
      </c>
      <c r="F36" s="34"/>
      <c r="G36" s="34"/>
      <c r="H36" s="38">
        <v>3.3</v>
      </c>
      <c r="I36" s="39" t="s">
        <v>50</v>
      </c>
      <c r="K36" s="55" t="s">
        <v>98</v>
      </c>
      <c r="L36" s="56" t="s">
        <v>99</v>
      </c>
      <c r="M36" s="57" t="s">
        <v>100</v>
      </c>
    </row>
    <row r="37" ht="18.75" customHeight="1">
      <c r="A37" s="33"/>
      <c r="E37" s="58" t="s">
        <v>101</v>
      </c>
      <c r="F37" s="44"/>
      <c r="K37" s="59" t="s">
        <v>50</v>
      </c>
      <c r="L37" s="60" t="s">
        <v>102</v>
      </c>
      <c r="M37" s="61" t="s">
        <v>50</v>
      </c>
      <c r="O37" s="37" t="s">
        <v>103</v>
      </c>
    </row>
    <row r="38" ht="18.0" customHeight="1">
      <c r="A38" s="33"/>
      <c r="F38" s="34" t="s">
        <v>104</v>
      </c>
      <c r="G38" s="34"/>
      <c r="H38" s="41">
        <v>3.0</v>
      </c>
      <c r="I38" s="39" t="s">
        <v>50</v>
      </c>
      <c r="K38" s="62">
        <v>2.0</v>
      </c>
      <c r="L38" s="63">
        <v>0.61</v>
      </c>
      <c r="M38" s="64">
        <v>0.5</v>
      </c>
      <c r="O38" s="37" t="s">
        <v>105</v>
      </c>
    </row>
    <row r="39" ht="16.5" customHeight="1">
      <c r="A39" s="31" t="s">
        <v>106</v>
      </c>
      <c r="F39" s="48"/>
      <c r="K39" s="62">
        <v>3.0</v>
      </c>
      <c r="L39" s="63">
        <v>0.88</v>
      </c>
      <c r="M39" s="64">
        <v>0.8</v>
      </c>
      <c r="O39" s="37" t="s">
        <v>107</v>
      </c>
    </row>
    <row r="40" ht="17.25" customHeight="1">
      <c r="A40" s="51"/>
      <c r="F40" s="49"/>
      <c r="K40" s="62">
        <v>4.0</v>
      </c>
      <c r="L40" s="63">
        <v>1.03</v>
      </c>
      <c r="M40" s="64">
        <v>1.0</v>
      </c>
      <c r="O40" s="37" t="s">
        <v>108</v>
      </c>
    </row>
    <row r="41" ht="18.0" customHeight="1">
      <c r="A41" s="34" t="s">
        <v>109</v>
      </c>
      <c r="C41" s="65">
        <f>(C11-H36)/C11</f>
        <v>0.868</v>
      </c>
      <c r="F41" s="37" t="s">
        <v>110</v>
      </c>
      <c r="H41" s="66">
        <f>M44</f>
        <v>0.8</v>
      </c>
      <c r="I41" s="39" t="s">
        <v>50</v>
      </c>
      <c r="K41" s="62">
        <v>5.0</v>
      </c>
      <c r="L41" s="63">
        <v>1.23</v>
      </c>
      <c r="M41" s="64">
        <v>1.3</v>
      </c>
      <c r="O41" s="37" t="s">
        <v>111</v>
      </c>
    </row>
    <row r="42" ht="18.0" customHeight="1">
      <c r="A42" s="34" t="s">
        <v>112</v>
      </c>
      <c r="C42" s="66">
        <f>L44</f>
        <v>0.88</v>
      </c>
      <c r="D42" s="36" t="s">
        <v>113</v>
      </c>
      <c r="E42" s="37" t="s">
        <v>114</v>
      </c>
      <c r="F42" s="37"/>
      <c r="H42" s="66">
        <f>IF(H36&gt;H41,C42,(H36/(2.2+H36))*3.3)</f>
        <v>0.88</v>
      </c>
      <c r="I42" s="36" t="s">
        <v>115</v>
      </c>
      <c r="K42" s="62">
        <v>6.0</v>
      </c>
      <c r="L42" s="63">
        <v>1.41</v>
      </c>
      <c r="M42" s="64">
        <v>1.65</v>
      </c>
      <c r="O42" s="37" t="s">
        <v>116</v>
      </c>
    </row>
    <row r="43" ht="16.5" customHeight="1">
      <c r="E43" s="37" t="s">
        <v>117</v>
      </c>
      <c r="F43" s="37"/>
      <c r="H43" s="66">
        <f>H42*(C44^(C36-15))</f>
        <v>0.88</v>
      </c>
      <c r="I43" s="36" t="s">
        <v>118</v>
      </c>
      <c r="K43" s="20"/>
      <c r="M43" s="18"/>
      <c r="O43" s="37" t="s">
        <v>119</v>
      </c>
    </row>
    <row r="44" ht="18.75" customHeight="1">
      <c r="A44" s="34" t="s">
        <v>120</v>
      </c>
      <c r="C44" s="50">
        <f>IF(H36&gt;H41,1.058,1.098)</f>
        <v>1.058</v>
      </c>
      <c r="D44" s="37" t="s">
        <v>121</v>
      </c>
      <c r="H44" s="66">
        <f>H43/C41</f>
        <v>1.013824885</v>
      </c>
      <c r="I44" s="36" t="s">
        <v>122</v>
      </c>
      <c r="J44" s="67"/>
      <c r="K44" s="68">
        <f>H38</f>
        <v>3</v>
      </c>
      <c r="L44" s="69">
        <f>VLOOKUP(K44,K38:M42,2)</f>
        <v>0.88</v>
      </c>
      <c r="M44" s="70">
        <f>VLOOKUP(K44,K38:M42,3)</f>
        <v>0.8</v>
      </c>
      <c r="O44" s="37" t="s">
        <v>123</v>
      </c>
    </row>
    <row r="45" ht="18.0" customHeight="1">
      <c r="J45" s="27"/>
      <c r="O45" s="37" t="s">
        <v>124</v>
      </c>
      <c r="S45" s="42" t="s">
        <v>125</v>
      </c>
    </row>
    <row r="46" ht="18.0" customHeight="1">
      <c r="A46" s="31" t="s">
        <v>126</v>
      </c>
      <c r="B46" s="4"/>
    </row>
    <row r="47" ht="17.25" customHeight="1">
      <c r="O47" s="37" t="s">
        <v>127</v>
      </c>
    </row>
    <row r="48" ht="18.0" customHeight="1">
      <c r="A48" s="8" t="s">
        <v>128</v>
      </c>
      <c r="B48" s="34"/>
      <c r="C48" s="71">
        <f>H10/C11</f>
        <v>7.2</v>
      </c>
      <c r="E48" s="72" t="str">
        <f>IF(C48&lt;4,"Use Worksheet 3 for Post-Anoxic",IF(C49&gt;0.75,"Use Worksheet 3 for Post-Anoxic","Use this Worksheet for Pre-Anoxic"))</f>
        <v>Use this Worksheet for Pre-Anoxic</v>
      </c>
    </row>
    <row r="49" ht="19.5" customHeight="1">
      <c r="A49" s="8" t="s">
        <v>129</v>
      </c>
      <c r="C49" s="65">
        <f>(C11-C16)/C11</f>
        <v>0.64</v>
      </c>
      <c r="E49" s="72" t="s">
        <v>130</v>
      </c>
      <c r="K49" s="42" t="s">
        <v>131</v>
      </c>
    </row>
    <row r="50" ht="18.0" customHeight="1">
      <c r="K50" s="8" t="s">
        <v>132</v>
      </c>
    </row>
    <row r="51" ht="18.0" customHeight="1">
      <c r="A51" s="31" t="s">
        <v>133</v>
      </c>
      <c r="K51" s="40" t="s">
        <v>134</v>
      </c>
    </row>
    <row r="52" ht="18.0" customHeight="1"/>
    <row r="53" ht="18.0" customHeight="1">
      <c r="A53" s="37" t="s">
        <v>135</v>
      </c>
      <c r="B53" s="37"/>
      <c r="C53" s="73">
        <v>500.0</v>
      </c>
      <c r="D53" s="36" t="s">
        <v>136</v>
      </c>
      <c r="E53" s="74" t="s">
        <v>137</v>
      </c>
      <c r="F53" s="75"/>
      <c r="G53" s="76"/>
      <c r="K53" s="40" t="s">
        <v>138</v>
      </c>
    </row>
    <row r="54" ht="18.0" customHeight="1">
      <c r="A54" s="77" t="s">
        <v>139</v>
      </c>
      <c r="B54" s="34"/>
      <c r="C54" s="36"/>
      <c r="D54" s="36"/>
      <c r="E54" s="78" t="s">
        <v>140</v>
      </c>
      <c r="F54" s="79"/>
      <c r="G54" s="80"/>
      <c r="H54" s="81" t="s">
        <v>141</v>
      </c>
      <c r="I54" s="82"/>
    </row>
    <row r="55" ht="18.0" customHeight="1">
      <c r="A55" s="8" t="s">
        <v>142</v>
      </c>
      <c r="B55" s="37"/>
      <c r="C55" s="41">
        <v>2.4</v>
      </c>
      <c r="D55" s="36" t="s">
        <v>143</v>
      </c>
      <c r="F55" s="37" t="s">
        <v>144</v>
      </c>
      <c r="G55" s="37"/>
      <c r="H55" s="83">
        <v>0.6</v>
      </c>
    </row>
    <row r="56" ht="18.0" customHeight="1">
      <c r="A56" s="8" t="s">
        <v>145</v>
      </c>
      <c r="C56" s="41">
        <v>1.5</v>
      </c>
      <c r="F56" s="84" t="s">
        <v>146</v>
      </c>
      <c r="H56" s="85"/>
    </row>
    <row r="57" ht="18.0" customHeight="1">
      <c r="A57" s="86" t="s">
        <v>147</v>
      </c>
      <c r="F57" s="84" t="s">
        <v>148</v>
      </c>
      <c r="G57" s="27"/>
      <c r="H57" s="27"/>
    </row>
    <row r="58" ht="18.0" customHeight="1"/>
    <row r="59" ht="18.0" customHeight="1">
      <c r="A59" s="31" t="s">
        <v>149</v>
      </c>
    </row>
    <row r="60" ht="18.0" customHeight="1"/>
    <row r="61" ht="15.75" customHeight="1">
      <c r="A61" s="32" t="s">
        <v>150</v>
      </c>
      <c r="F61" s="87" t="s">
        <v>151</v>
      </c>
    </row>
    <row r="62" ht="18.75" customHeight="1">
      <c r="F62" s="88" t="s">
        <v>152</v>
      </c>
      <c r="H62" s="27"/>
    </row>
    <row r="63" ht="18.75" customHeight="1">
      <c r="A63" s="37" t="s">
        <v>153</v>
      </c>
      <c r="B63" s="34"/>
      <c r="C63" s="83">
        <v>0.4</v>
      </c>
      <c r="D63" s="89" t="s">
        <v>154</v>
      </c>
      <c r="F63" s="90" t="s">
        <v>155</v>
      </c>
    </row>
    <row r="64" ht="18.0" customHeight="1">
      <c r="A64" s="8" t="s">
        <v>156</v>
      </c>
      <c r="B64" s="34"/>
      <c r="C64" s="71">
        <f>(C10*H11)+(C10*C17*C16)</f>
        <v>10415.82734</v>
      </c>
      <c r="D64" s="39" t="s">
        <v>157</v>
      </c>
      <c r="F64" s="8" t="s">
        <v>158</v>
      </c>
      <c r="G64" s="34"/>
      <c r="H64" s="71">
        <f>C66/C$63</f>
        <v>57.86570743</v>
      </c>
      <c r="I64" s="36" t="s">
        <v>159</v>
      </c>
      <c r="K64" s="91" t="s">
        <v>160</v>
      </c>
    </row>
    <row r="65" ht="18.0" customHeight="1">
      <c r="A65" s="8" t="s">
        <v>161</v>
      </c>
      <c r="B65" s="34"/>
      <c r="C65" s="71">
        <f>C64/C21</f>
        <v>11573.14149</v>
      </c>
      <c r="D65" s="36" t="s">
        <v>162</v>
      </c>
      <c r="F65" s="8" t="str">
        <f>IF(H54="cylindrical","Calculated Tank Diam.  =","  Calculated Tank Width =")</f>
        <v>  Calculated Tank Width =</v>
      </c>
      <c r="H65" s="71">
        <f>IF(H$54="cylindrical",((H64/C$55)*4/PI())^0.5,((H64/C$55)/C$56)^0.5)</f>
        <v>4.009215337</v>
      </c>
      <c r="I65" s="36" t="s">
        <v>143</v>
      </c>
    </row>
    <row r="66" ht="17.25" customHeight="1">
      <c r="A66" s="8" t="s">
        <v>163</v>
      </c>
      <c r="B66" s="34"/>
      <c r="C66" s="50">
        <f>C65/C53</f>
        <v>23.14628297</v>
      </c>
      <c r="D66" s="36" t="s">
        <v>164</v>
      </c>
      <c r="F66" s="8" t="str">
        <f>IF(H54="cylindrical","","  Calculated Tank Length =")</f>
        <v>  Calculated Tank Length =</v>
      </c>
      <c r="H66" s="71">
        <f>IF(H$54="cylindrical","",(H64/C$55)/H65)</f>
        <v>6.013823006</v>
      </c>
      <c r="I66" s="36" t="s">
        <v>143</v>
      </c>
      <c r="K66" s="92" t="s">
        <v>165</v>
      </c>
    </row>
    <row r="67" ht="17.25" customHeight="1">
      <c r="A67" s="34" t="s">
        <v>166</v>
      </c>
      <c r="C67" s="71">
        <f>H64-((1-H$55)*C66)</f>
        <v>48.60719424</v>
      </c>
      <c r="D67" s="36" t="s">
        <v>167</v>
      </c>
      <c r="E67" s="34" t="s">
        <v>168</v>
      </c>
      <c r="I67" s="36"/>
      <c r="K67" s="92" t="s">
        <v>169</v>
      </c>
    </row>
    <row r="68" ht="18.0" customHeight="1">
      <c r="F68" s="34" t="s">
        <v>170</v>
      </c>
      <c r="H68" s="93">
        <f>C67/(C$10/(24*60))</f>
        <v>92.09784173</v>
      </c>
      <c r="I68" s="36" t="s">
        <v>171</v>
      </c>
      <c r="K68" s="94" t="s">
        <v>172</v>
      </c>
    </row>
    <row r="69" ht="15.75" customHeight="1">
      <c r="A69" s="34" t="s">
        <v>173</v>
      </c>
      <c r="F69" s="34" t="s">
        <v>174</v>
      </c>
      <c r="H69" s="93">
        <f>H68/C$12</f>
        <v>23.02446043</v>
      </c>
      <c r="I69" s="36" t="s">
        <v>171</v>
      </c>
      <c r="K69" s="92" t="s">
        <v>175</v>
      </c>
    </row>
    <row r="70" ht="18.0" customHeight="1">
      <c r="A70" s="34" t="s">
        <v>176</v>
      </c>
      <c r="C70" s="66">
        <f>I23*C21</f>
        <v>0.834</v>
      </c>
      <c r="D70" s="36" t="s">
        <v>177</v>
      </c>
      <c r="K70" s="3" t="s">
        <v>178</v>
      </c>
    </row>
    <row r="71" ht="25.5" customHeight="1">
      <c r="A71" s="34" t="s">
        <v>179</v>
      </c>
      <c r="B71" s="34"/>
      <c r="C71" s="66">
        <f>C10*(C11-C16-H36)</f>
        <v>9652</v>
      </c>
      <c r="D71" s="39" t="s">
        <v>157</v>
      </c>
      <c r="E71" s="34" t="s">
        <v>180</v>
      </c>
      <c r="G71" s="34"/>
      <c r="H71" s="66">
        <f>C70*C65</f>
        <v>9652</v>
      </c>
      <c r="I71" s="39" t="s">
        <v>157</v>
      </c>
      <c r="K71" s="3" t="s">
        <v>181</v>
      </c>
    </row>
    <row r="72" ht="17.25" customHeight="1">
      <c r="A72" s="34" t="s">
        <v>182</v>
      </c>
      <c r="E72" s="34" t="s">
        <v>183</v>
      </c>
      <c r="G72" s="34"/>
      <c r="H72" s="95">
        <f>H71-C71</f>
        <v>0</v>
      </c>
      <c r="I72" s="39" t="s">
        <v>157</v>
      </c>
    </row>
    <row r="73" ht="18.0" customHeight="1">
      <c r="K73" s="94" t="s">
        <v>184</v>
      </c>
    </row>
    <row r="74" ht="22.5" customHeight="1">
      <c r="A74" s="96" t="s">
        <v>185</v>
      </c>
      <c r="F74" s="97"/>
      <c r="K74" s="92" t="s">
        <v>186</v>
      </c>
    </row>
    <row r="75" ht="18.0" customHeight="1">
      <c r="A75" s="96" t="s">
        <v>187</v>
      </c>
      <c r="K75" s="92" t="s">
        <v>188</v>
      </c>
    </row>
    <row r="76" ht="18.0" customHeight="1">
      <c r="A76" s="96" t="s">
        <v>189</v>
      </c>
      <c r="K76" s="92" t="s">
        <v>190</v>
      </c>
    </row>
    <row r="77" ht="18.0" customHeight="1">
      <c r="A77" s="96" t="s">
        <v>191</v>
      </c>
      <c r="C77" s="34"/>
      <c r="K77" s="92" t="s">
        <v>192</v>
      </c>
    </row>
    <row r="78" ht="18.0" customHeight="1">
      <c r="A78" s="96" t="s">
        <v>193</v>
      </c>
      <c r="K78" s="92" t="s">
        <v>194</v>
      </c>
    </row>
    <row r="79" ht="18.0" customHeight="1">
      <c r="A79" s="96" t="s">
        <v>195</v>
      </c>
    </row>
    <row r="80" ht="18.0" customHeight="1"/>
    <row r="81" ht="17.25" customHeight="1">
      <c r="A81" s="32" t="s">
        <v>196</v>
      </c>
    </row>
    <row r="82" ht="18.0" customHeight="1">
      <c r="F82" s="8" t="s">
        <v>197</v>
      </c>
      <c r="H82" s="41">
        <v>10.78577899585094</v>
      </c>
      <c r="I82" s="39" t="s">
        <v>50</v>
      </c>
      <c r="K82" s="91" t="s">
        <v>198</v>
      </c>
    </row>
    <row r="83" ht="17.25" customHeight="1">
      <c r="A83" s="37" t="s">
        <v>153</v>
      </c>
      <c r="B83" s="34"/>
      <c r="C83" s="83">
        <v>0.7275658231587436</v>
      </c>
      <c r="D83" s="89" t="s">
        <v>199</v>
      </c>
      <c r="F83" s="48"/>
      <c r="H83" s="98"/>
    </row>
    <row r="84" ht="17.25" customHeight="1">
      <c r="A84" s="34" t="s">
        <v>200</v>
      </c>
      <c r="B84" s="34"/>
      <c r="C84" s="71">
        <f>C10*H10-(0.67*(20/7)*C71)+C10*H17*H82</f>
        <v>126110.6467</v>
      </c>
      <c r="D84" s="39" t="s">
        <v>157</v>
      </c>
      <c r="F84" s="8" t="s">
        <v>158</v>
      </c>
      <c r="G84" s="34"/>
      <c r="H84" s="71">
        <f>C87/C$83</f>
        <v>57.77742838</v>
      </c>
      <c r="I84" s="36" t="s">
        <v>201</v>
      </c>
      <c r="J84" s="39"/>
      <c r="K84" s="92" t="s">
        <v>202</v>
      </c>
    </row>
    <row r="85" ht="15.75" customHeight="1">
      <c r="A85" s="34"/>
      <c r="B85" s="34"/>
      <c r="C85" s="39"/>
      <c r="D85" s="39"/>
      <c r="F85" s="8" t="str">
        <f>IF(H54="cylindrical","Calculated Tank Diam.  =","  Calculated Tank Width =")</f>
        <v>  Calculated Tank Width =</v>
      </c>
      <c r="H85" s="71">
        <f>IF(H$54="cylindrical",((H84/C$55)*4/PI())^0.5,((H84/C$55)/C$56)^0.5)</f>
        <v>4.006155971</v>
      </c>
      <c r="I85" s="36" t="s">
        <v>143</v>
      </c>
      <c r="K85" s="92" t="s">
        <v>203</v>
      </c>
    </row>
    <row r="86" ht="18.0" customHeight="1">
      <c r="A86" s="34" t="s">
        <v>161</v>
      </c>
      <c r="B86" s="34"/>
      <c r="C86" s="93">
        <f>C84/C28</f>
        <v>21018.44112</v>
      </c>
      <c r="D86" s="36" t="s">
        <v>204</v>
      </c>
      <c r="F86" s="8" t="str">
        <f>IF(H54="cylindrical","","  Calculated Tank Length =")</f>
        <v>  Calculated Tank Length =</v>
      </c>
      <c r="H86" s="71">
        <f>IF(H$54="cylindrical","",(H84/C$55)/H85)</f>
        <v>6.009233956</v>
      </c>
      <c r="I86" s="36" t="s">
        <v>143</v>
      </c>
      <c r="K86" s="92" t="s">
        <v>205</v>
      </c>
    </row>
    <row r="87" ht="18.75" customHeight="1">
      <c r="A87" s="8" t="s">
        <v>163</v>
      </c>
      <c r="B87" s="34"/>
      <c r="C87" s="66">
        <f>C86/C$53</f>
        <v>42.03688224</v>
      </c>
      <c r="D87" s="36" t="s">
        <v>206</v>
      </c>
      <c r="E87" s="34" t="s">
        <v>168</v>
      </c>
      <c r="I87" s="36"/>
      <c r="K87" s="92" t="s">
        <v>207</v>
      </c>
    </row>
    <row r="88" ht="18.75" customHeight="1">
      <c r="A88" s="8" t="s">
        <v>208</v>
      </c>
      <c r="C88" s="71">
        <f>H84-((1-H$55)*C87)</f>
        <v>40.96267549</v>
      </c>
      <c r="D88" s="36" t="s">
        <v>209</v>
      </c>
      <c r="F88" s="8" t="s">
        <v>210</v>
      </c>
      <c r="H88" s="93">
        <f>C88/(C$10/(24*60))</f>
        <v>77.61349039</v>
      </c>
      <c r="I88" s="36" t="s">
        <v>171</v>
      </c>
    </row>
    <row r="89" ht="18.75" customHeight="1">
      <c r="F89" s="8" t="s">
        <v>211</v>
      </c>
      <c r="H89" s="93">
        <f>H88/C$12</f>
        <v>19.4033726</v>
      </c>
      <c r="I89" s="36" t="s">
        <v>171</v>
      </c>
      <c r="K89" s="94" t="s">
        <v>212</v>
      </c>
    </row>
    <row r="90" ht="18.0" customHeight="1">
      <c r="A90" s="34" t="s">
        <v>213</v>
      </c>
      <c r="E90" s="8" t="s">
        <v>214</v>
      </c>
      <c r="G90" s="34"/>
      <c r="H90" s="71">
        <f>((C84-C92)/C10)</f>
        <v>10.785779</v>
      </c>
      <c r="I90" s="39" t="s">
        <v>50</v>
      </c>
      <c r="K90" s="92" t="s">
        <v>215</v>
      </c>
    </row>
    <row r="91" ht="18.0" customHeight="1">
      <c r="A91" s="34" t="s">
        <v>216</v>
      </c>
      <c r="C91" s="66">
        <f>C31*C28</f>
        <v>5.61</v>
      </c>
      <c r="D91" s="36" t="s">
        <v>217</v>
      </c>
      <c r="F91" s="48" t="s">
        <v>218</v>
      </c>
      <c r="K91" s="92" t="s">
        <v>219</v>
      </c>
    </row>
    <row r="92" ht="18.0" customHeight="1">
      <c r="A92" s="8" t="s">
        <v>220</v>
      </c>
      <c r="B92" s="34"/>
      <c r="C92" s="93">
        <f>C91*C86</f>
        <v>117913.4547</v>
      </c>
      <c r="D92" s="39" t="s">
        <v>157</v>
      </c>
      <c r="F92" s="48" t="s">
        <v>221</v>
      </c>
      <c r="K92" s="92" t="s">
        <v>222</v>
      </c>
    </row>
    <row r="93" ht="18.0" customHeight="1">
      <c r="D93" s="34" t="s">
        <v>223</v>
      </c>
      <c r="H93" s="95">
        <f>H82-H90</f>
        <v>0</v>
      </c>
      <c r="I93" s="39" t="s">
        <v>50</v>
      </c>
    </row>
    <row r="94" ht="24.0" customHeight="1">
      <c r="A94" s="96" t="s">
        <v>224</v>
      </c>
      <c r="F94" s="49"/>
    </row>
    <row r="95" ht="18.0" customHeight="1">
      <c r="A95" s="96" t="s">
        <v>187</v>
      </c>
      <c r="K95" s="91" t="s">
        <v>225</v>
      </c>
    </row>
    <row r="96" ht="18.0" customHeight="1">
      <c r="A96" s="96" t="s">
        <v>226</v>
      </c>
    </row>
    <row r="97" ht="12.75" customHeight="1">
      <c r="A97" s="96" t="s">
        <v>227</v>
      </c>
      <c r="I97" s="99"/>
      <c r="K97" s="94" t="s">
        <v>228</v>
      </c>
    </row>
    <row r="98" ht="12.75" customHeight="1">
      <c r="A98" s="96" t="s">
        <v>229</v>
      </c>
      <c r="K98" s="92" t="s">
        <v>230</v>
      </c>
    </row>
    <row r="99" ht="17.25" customHeight="1">
      <c r="A99" s="100" t="s">
        <v>195</v>
      </c>
      <c r="K99" s="92" t="s">
        <v>205</v>
      </c>
    </row>
    <row r="100" ht="18.0" customHeight="1">
      <c r="K100" s="92" t="s">
        <v>207</v>
      </c>
    </row>
    <row r="101" ht="17.25" customHeight="1">
      <c r="A101" s="34" t="s">
        <v>231</v>
      </c>
      <c r="F101" s="71">
        <f>H64-H84</f>
        <v>0.08827905275</v>
      </c>
    </row>
    <row r="102" ht="27.0" customHeight="1">
      <c r="A102" s="46" t="s">
        <v>232</v>
      </c>
      <c r="K102" s="94" t="s">
        <v>212</v>
      </c>
    </row>
    <row r="103" ht="18.0" customHeight="1">
      <c r="A103" s="48" t="s">
        <v>233</v>
      </c>
      <c r="K103" s="92" t="s">
        <v>215</v>
      </c>
    </row>
    <row r="104" ht="29.25" customHeight="1">
      <c r="A104" s="32" t="s">
        <v>234</v>
      </c>
      <c r="K104" s="92" t="s">
        <v>235</v>
      </c>
    </row>
    <row r="105" ht="18.0" customHeight="1">
      <c r="F105" s="8" t="s">
        <v>166</v>
      </c>
      <c r="H105" s="71">
        <f>H106-((1-H$55)*C109)</f>
        <v>51.49085861</v>
      </c>
      <c r="I105" s="36" t="s">
        <v>236</v>
      </c>
      <c r="K105" s="92" t="s">
        <v>237</v>
      </c>
    </row>
    <row r="106" ht="15.75" customHeight="1">
      <c r="A106" s="37" t="s">
        <v>153</v>
      </c>
      <c r="B106" s="34"/>
      <c r="C106" s="83">
        <v>0.6477370687252669</v>
      </c>
      <c r="D106" s="89" t="s">
        <v>238</v>
      </c>
      <c r="F106" s="8" t="s">
        <v>158</v>
      </c>
      <c r="G106" s="34"/>
      <c r="H106" s="71">
        <f>C109/C$106</f>
        <v>69.49723192</v>
      </c>
      <c r="I106" s="36" t="s">
        <v>239</v>
      </c>
    </row>
    <row r="107" ht="18.0" customHeight="1">
      <c r="A107" s="8" t="s">
        <v>240</v>
      </c>
      <c r="B107" s="34"/>
      <c r="C107" s="93">
        <f>C10*C11+C10*C17*H36</f>
        <v>22819.13669</v>
      </c>
      <c r="D107" s="39" t="s">
        <v>157</v>
      </c>
    </row>
    <row r="108" ht="19.5" customHeight="1">
      <c r="A108" s="8" t="s">
        <v>161</v>
      </c>
      <c r="B108" s="34"/>
      <c r="C108" s="93">
        <f>C107/H44</f>
        <v>22507.96664</v>
      </c>
      <c r="D108" s="36" t="s">
        <v>241</v>
      </c>
      <c r="F108" s="8" t="str">
        <f>IF(H54="cylindrical","Calculated Tank Diam.  =","  Calculated Tank Width =")</f>
        <v>  Calculated Tank Width =</v>
      </c>
      <c r="H108" s="71">
        <f>IF(H$54="cylindrical",((H106/C$55)*4/PI())^0.5,((H106/C$55)/C$56)^0.5)</f>
        <v>4.393721275</v>
      </c>
      <c r="I108" s="36" t="s">
        <v>143</v>
      </c>
      <c r="K108" s="94" t="s">
        <v>242</v>
      </c>
    </row>
    <row r="109" ht="18.0" customHeight="1">
      <c r="A109" s="34" t="s">
        <v>163</v>
      </c>
      <c r="B109" s="34"/>
      <c r="C109" s="66">
        <f>C108/C$53</f>
        <v>45.01593329</v>
      </c>
      <c r="D109" s="36" t="s">
        <v>243</v>
      </c>
      <c r="F109" s="8" t="str">
        <f>IF(H54="cylindrical","","  Calculated Tank Length =")</f>
        <v>  Calculated Tank Length =</v>
      </c>
      <c r="H109" s="71">
        <f>IF(H$54="cylindrical","",(H106/C$55)/H108)</f>
        <v>6.590581913</v>
      </c>
      <c r="I109" s="101" t="s">
        <v>143</v>
      </c>
      <c r="K109" s="27" t="s">
        <v>244</v>
      </c>
    </row>
    <row r="110" ht="17.25" customHeight="1">
      <c r="A110" s="34" t="s">
        <v>245</v>
      </c>
      <c r="E110" s="34" t="s">
        <v>168</v>
      </c>
      <c r="K110" s="102" t="s">
        <v>246</v>
      </c>
    </row>
    <row r="111" ht="19.5" customHeight="1">
      <c r="A111" s="34"/>
      <c r="C111" s="36"/>
      <c r="D111" s="36"/>
      <c r="F111" s="8" t="s">
        <v>210</v>
      </c>
      <c r="H111" s="93">
        <f>H105/(C$10/(24*60))</f>
        <v>97.56162683</v>
      </c>
      <c r="I111" s="36" t="s">
        <v>171</v>
      </c>
    </row>
    <row r="112" ht="12.75" customHeight="1">
      <c r="F112" s="49"/>
      <c r="K112" s="8" t="s">
        <v>247</v>
      </c>
    </row>
    <row r="113" ht="16.5" customHeight="1">
      <c r="A113" s="8" t="s">
        <v>248</v>
      </c>
      <c r="F113" s="8" t="s">
        <v>211</v>
      </c>
      <c r="H113" s="93">
        <f>H111/C$12</f>
        <v>24.39040671</v>
      </c>
      <c r="I113" s="101" t="s">
        <v>171</v>
      </c>
      <c r="N113" s="77" t="s">
        <v>249</v>
      </c>
    </row>
    <row r="114" ht="17.25" customHeight="1">
      <c r="A114" s="8" t="s">
        <v>250</v>
      </c>
      <c r="C114" s="71">
        <f>H64-H106</f>
        <v>-11.63152449</v>
      </c>
      <c r="K114" s="8" t="s">
        <v>251</v>
      </c>
    </row>
    <row r="115" ht="18.75" customHeight="1">
      <c r="A115" s="46" t="s">
        <v>252</v>
      </c>
      <c r="F115" s="89" t="s">
        <v>253</v>
      </c>
      <c r="H115" s="66">
        <f>C10*H90/(C108)</f>
        <v>0.364190696</v>
      </c>
      <c r="I115" s="36" t="s">
        <v>254</v>
      </c>
      <c r="M115" s="77" t="s">
        <v>255</v>
      </c>
    </row>
    <row r="116" ht="18.0" customHeight="1">
      <c r="A116" s="48" t="s">
        <v>256</v>
      </c>
      <c r="F116" s="89" t="s">
        <v>257</v>
      </c>
      <c r="K116" s="34" t="s">
        <v>258</v>
      </c>
    </row>
    <row r="117" ht="17.25" customHeight="1">
      <c r="A117" s="49" t="s">
        <v>259</v>
      </c>
      <c r="F117" s="77" t="s">
        <v>260</v>
      </c>
    </row>
    <row r="118" ht="31.5" customHeight="1">
      <c r="A118" s="31" t="s">
        <v>261</v>
      </c>
      <c r="K118" s="34" t="s">
        <v>262</v>
      </c>
    </row>
    <row r="119" ht="12.75" customHeight="1"/>
    <row r="120" ht="12.75" customHeight="1">
      <c r="A120" s="32" t="s">
        <v>263</v>
      </c>
      <c r="K120" s="34" t="s">
        <v>264</v>
      </c>
    </row>
    <row r="121" ht="18.0" customHeight="1">
      <c r="K121" s="27" t="s">
        <v>265</v>
      </c>
    </row>
    <row r="122" ht="18.0" customHeight="1">
      <c r="A122" s="37" t="s">
        <v>266</v>
      </c>
      <c r="B122" s="34"/>
      <c r="C122" s="43">
        <v>1.5</v>
      </c>
      <c r="D122" s="33" t="s">
        <v>267</v>
      </c>
      <c r="F122" s="8" t="s">
        <v>268</v>
      </c>
      <c r="H122" s="41">
        <v>2.3</v>
      </c>
      <c r="I122" s="36" t="s">
        <v>143</v>
      </c>
      <c r="K122" s="8" t="s">
        <v>269</v>
      </c>
    </row>
    <row r="123" ht="15.75" customHeight="1">
      <c r="A123" s="37" t="s">
        <v>270</v>
      </c>
      <c r="B123" s="34"/>
      <c r="C123" s="43">
        <v>4.57</v>
      </c>
      <c r="D123" s="33" t="s">
        <v>271</v>
      </c>
      <c r="F123" s="34" t="s">
        <v>272</v>
      </c>
      <c r="H123" s="73">
        <v>0.0</v>
      </c>
      <c r="I123" s="103" t="s">
        <v>273</v>
      </c>
      <c r="K123" s="8" t="s">
        <v>274</v>
      </c>
    </row>
    <row r="124" ht="12.75" customHeight="1">
      <c r="A124" s="37" t="s">
        <v>275</v>
      </c>
      <c r="B124" s="34"/>
      <c r="C124" s="104">
        <v>0.025</v>
      </c>
      <c r="D124" s="33" t="s">
        <v>276</v>
      </c>
      <c r="F124" s="34" t="s">
        <v>277</v>
      </c>
      <c r="H124" s="52">
        <v>1.0</v>
      </c>
      <c r="I124" s="36" t="s">
        <v>278</v>
      </c>
    </row>
    <row r="125" ht="14.25" customHeight="1">
      <c r="A125" s="8" t="s">
        <v>279</v>
      </c>
      <c r="C125" s="41">
        <v>0.5</v>
      </c>
      <c r="F125" s="8" t="s">
        <v>280</v>
      </c>
      <c r="H125" s="52">
        <v>1.014</v>
      </c>
      <c r="I125" s="36" t="s">
        <v>278</v>
      </c>
      <c r="K125" s="27" t="s">
        <v>281</v>
      </c>
    </row>
    <row r="126" ht="17.25" customHeight="1">
      <c r="A126" s="8" t="s">
        <v>282</v>
      </c>
      <c r="C126" s="52">
        <v>0.03</v>
      </c>
      <c r="D126" s="36" t="s">
        <v>278</v>
      </c>
      <c r="F126" s="8" t="s">
        <v>283</v>
      </c>
      <c r="H126" s="52">
        <v>1.2</v>
      </c>
      <c r="I126" s="36" t="s">
        <v>284</v>
      </c>
    </row>
    <row r="127" ht="18.0" customHeight="1">
      <c r="A127" s="77" t="s">
        <v>285</v>
      </c>
      <c r="F127" s="8" t="s">
        <v>286</v>
      </c>
      <c r="H127" s="105">
        <v>0.277</v>
      </c>
      <c r="I127" s="36" t="s">
        <v>287</v>
      </c>
    </row>
    <row r="128" ht="12.75" customHeight="1"/>
    <row r="129" ht="12.75" customHeight="1">
      <c r="A129" s="32" t="s">
        <v>288</v>
      </c>
    </row>
    <row r="130" ht="16.5" customHeight="1"/>
    <row r="131" ht="12.75" customHeight="1">
      <c r="A131" s="8" t="s">
        <v>289</v>
      </c>
      <c r="B131" s="34"/>
      <c r="C131" s="71">
        <f>C122*C84/1000</f>
        <v>189.1659701</v>
      </c>
      <c r="D131" s="39" t="s">
        <v>290</v>
      </c>
      <c r="G131" s="34" t="s">
        <v>291</v>
      </c>
      <c r="H131" s="106">
        <f>C132*C125</f>
        <v>0.02875</v>
      </c>
      <c r="I131" s="36"/>
      <c r="K131" s="91" t="s">
        <v>292</v>
      </c>
    </row>
    <row r="132" ht="12.75" customHeight="1">
      <c r="B132" s="34" t="s">
        <v>293</v>
      </c>
      <c r="C132" s="106">
        <f>C124*H122</f>
        <v>0.0575</v>
      </c>
      <c r="F132" s="8" t="s">
        <v>294</v>
      </c>
      <c r="H132" s="107">
        <f>((C131/H131)/H127)/(24)</f>
        <v>989.7241149</v>
      </c>
      <c r="I132" s="108" t="s">
        <v>295</v>
      </c>
    </row>
    <row r="133" ht="12.75" customHeight="1">
      <c r="A133" s="8" t="s">
        <v>296</v>
      </c>
      <c r="C133" s="109">
        <f>H125+(C126)+(1000*9.91*H122/100000)</f>
        <v>1.27193</v>
      </c>
      <c r="D133" s="110" t="s">
        <v>297</v>
      </c>
      <c r="K133" s="94" t="s">
        <v>298</v>
      </c>
    </row>
    <row r="134" ht="21.0" customHeight="1"/>
    <row r="135" ht="12.75" customHeight="1">
      <c r="A135" s="31" t="s">
        <v>299</v>
      </c>
      <c r="K135" s="94" t="s">
        <v>300</v>
      </c>
    </row>
    <row r="136" ht="12.75" customHeight="1">
      <c r="K136" s="94" t="s">
        <v>301</v>
      </c>
    </row>
    <row r="137" ht="12.75" customHeight="1">
      <c r="A137" s="111" t="s">
        <v>302</v>
      </c>
    </row>
    <row r="138" ht="12.75" customHeight="1">
      <c r="A138" s="37" t="s">
        <v>303</v>
      </c>
      <c r="B138" s="34"/>
      <c r="C138" s="112">
        <v>0.056</v>
      </c>
      <c r="F138" s="37" t="s">
        <v>304</v>
      </c>
      <c r="G138" s="34"/>
      <c r="H138" s="52">
        <v>1.014</v>
      </c>
      <c r="I138" s="39" t="s">
        <v>278</v>
      </c>
    </row>
    <row r="139" ht="22.5" customHeight="1">
      <c r="A139" s="77" t="s">
        <v>305</v>
      </c>
      <c r="F139" s="77" t="s">
        <v>306</v>
      </c>
      <c r="K139" s="113" t="s">
        <v>307</v>
      </c>
    </row>
    <row r="140" ht="18.0" customHeight="1">
      <c r="A140" s="37" t="s">
        <v>308</v>
      </c>
      <c r="C140" s="41">
        <v>0.8</v>
      </c>
      <c r="F140" s="34" t="s">
        <v>309</v>
      </c>
    </row>
    <row r="141" ht="12.75" customHeight="1">
      <c r="A141" s="37" t="s">
        <v>310</v>
      </c>
      <c r="F141" s="34" t="s">
        <v>311</v>
      </c>
      <c r="H141" s="41">
        <v>1.0</v>
      </c>
      <c r="K141" s="113" t="s">
        <v>312</v>
      </c>
    </row>
    <row r="142" ht="12.75" customHeight="1">
      <c r="A142" s="37" t="s">
        <v>313</v>
      </c>
      <c r="C142" s="41">
        <v>0.6</v>
      </c>
      <c r="F142" s="34" t="s">
        <v>314</v>
      </c>
    </row>
    <row r="143" ht="12.75" customHeight="1">
      <c r="A143" s="37" t="s">
        <v>315</v>
      </c>
      <c r="C143" s="41">
        <v>2.5</v>
      </c>
      <c r="D143" s="34" t="s">
        <v>316</v>
      </c>
      <c r="F143" s="34" t="s">
        <v>317</v>
      </c>
      <c r="H143" s="52">
        <v>0.021</v>
      </c>
      <c r="I143" s="39" t="s">
        <v>278</v>
      </c>
      <c r="K143" s="114" t="s">
        <v>318</v>
      </c>
    </row>
    <row r="144" ht="12.75" customHeight="1">
      <c r="A144" s="37" t="s">
        <v>319</v>
      </c>
      <c r="C144" s="52">
        <v>1.275</v>
      </c>
      <c r="D144" s="36" t="s">
        <v>320</v>
      </c>
      <c r="F144" s="77" t="s">
        <v>305</v>
      </c>
    </row>
    <row r="145" ht="12.75" customHeight="1">
      <c r="A145" s="54" t="s">
        <v>321</v>
      </c>
    </row>
    <row r="146" ht="26.25" customHeight="1">
      <c r="A146" s="32" t="s">
        <v>322</v>
      </c>
      <c r="D146" s="94"/>
      <c r="K146" s="42" t="s">
        <v>323</v>
      </c>
    </row>
    <row r="147" ht="12.75" customHeight="1"/>
    <row r="148" ht="12.75" customHeight="1">
      <c r="A148" s="8" t="s">
        <v>289</v>
      </c>
      <c r="B148" s="34"/>
      <c r="C148" s="71">
        <f>C10*(4.57*(C11-H36)/1000)</f>
        <v>75.36844</v>
      </c>
      <c r="D148" s="39" t="s">
        <v>290</v>
      </c>
      <c r="F148" s="37" t="s">
        <v>324</v>
      </c>
      <c r="H148" s="106">
        <f>C138*C142*C140*(((H141*(C149/(1.014*100))*C151)-H38)/9.17)*(1.024^((C36)-20))</f>
        <v>0.02158408465</v>
      </c>
      <c r="K148" s="8" t="s">
        <v>325</v>
      </c>
    </row>
    <row r="149" ht="12.75" customHeight="1">
      <c r="A149" s="89" t="s">
        <v>326</v>
      </c>
      <c r="B149" s="34"/>
      <c r="C149" s="71">
        <f>(H138*100)+(9.79*C143/2)</f>
        <v>113.6375</v>
      </c>
      <c r="D149" s="39" t="s">
        <v>327</v>
      </c>
      <c r="F149" s="34" t="s">
        <v>328</v>
      </c>
      <c r="G149" s="34"/>
      <c r="H149" s="115">
        <f>(C148/H148)*28.97/(0.209*32*C144*24)</f>
        <v>494.2955434</v>
      </c>
      <c r="I149" s="108" t="s">
        <v>329</v>
      </c>
      <c r="K149" s="8" t="s">
        <v>330</v>
      </c>
      <c r="O149" s="102" t="s">
        <v>331</v>
      </c>
    </row>
    <row r="150" ht="21.0" customHeight="1">
      <c r="A150" s="34" t="s">
        <v>332</v>
      </c>
      <c r="F150" s="89" t="s">
        <v>333</v>
      </c>
      <c r="H150" s="115">
        <f>H149*(H124)/(H123+273.15)*((C36+273.15)/H151)</f>
        <v>407.4543659</v>
      </c>
      <c r="I150" s="108" t="s">
        <v>334</v>
      </c>
    </row>
    <row r="151" ht="12.75" customHeight="1">
      <c r="A151" s="34" t="s">
        <v>335</v>
      </c>
      <c r="C151" s="71">
        <f>(-0.00007044*(C36^3))+(0.00765*(C36^2))-(0.4006*C36)+14.6</f>
        <v>10.074515</v>
      </c>
      <c r="D151" s="39" t="s">
        <v>50</v>
      </c>
      <c r="E151" s="34" t="s">
        <v>336</v>
      </c>
      <c r="H151" s="116">
        <f>(((H138+H143)*100)+(9.79*C143))/100</f>
        <v>1.27975</v>
      </c>
      <c r="I151" s="117" t="s">
        <v>278</v>
      </c>
      <c r="K151" s="8" t="s">
        <v>337</v>
      </c>
    </row>
    <row r="152" ht="18.0" customHeight="1">
      <c r="A152" s="89" t="s">
        <v>338</v>
      </c>
      <c r="K152" s="8" t="s">
        <v>339</v>
      </c>
    </row>
    <row r="153" ht="12.75" customHeight="1">
      <c r="K153" s="102" t="s">
        <v>340</v>
      </c>
    </row>
    <row r="154" ht="12.75" customHeight="1">
      <c r="A154" s="31" t="s">
        <v>341</v>
      </c>
    </row>
    <row r="155" ht="12.75" customHeight="1">
      <c r="K155" s="8" t="s">
        <v>342</v>
      </c>
    </row>
    <row r="156" ht="12.75" customHeight="1">
      <c r="A156" s="111" t="s">
        <v>343</v>
      </c>
      <c r="B156" s="37" t="s">
        <v>344</v>
      </c>
      <c r="D156" s="34"/>
      <c r="F156" s="38">
        <v>80.0</v>
      </c>
      <c r="G156" s="39" t="s">
        <v>50</v>
      </c>
      <c r="K156" s="8" t="s">
        <v>345</v>
      </c>
    </row>
    <row r="157" ht="12.75" customHeight="1">
      <c r="K157" s="102" t="s">
        <v>346</v>
      </c>
    </row>
    <row r="158" ht="12.75" customHeight="1">
      <c r="A158" s="111" t="s">
        <v>347</v>
      </c>
    </row>
    <row r="159" ht="12.75" customHeight="1">
      <c r="I159" s="36"/>
      <c r="K159" s="8" t="s">
        <v>348</v>
      </c>
    </row>
    <row r="160" ht="12.75" customHeight="1">
      <c r="A160" s="37" t="s">
        <v>349</v>
      </c>
      <c r="B160" s="37"/>
      <c r="C160" s="93">
        <v>50.0</v>
      </c>
      <c r="D160" s="36" t="s">
        <v>350</v>
      </c>
      <c r="F160" s="37" t="s">
        <v>351</v>
      </c>
      <c r="G160" s="37"/>
      <c r="H160" s="93">
        <v>84.0</v>
      </c>
      <c r="I160" s="36" t="s">
        <v>350</v>
      </c>
      <c r="K160" s="8" t="s">
        <v>352</v>
      </c>
    </row>
    <row r="161" ht="12.75" customHeight="1"/>
    <row r="162" ht="12.75" customHeight="1">
      <c r="A162" s="37" t="s">
        <v>353</v>
      </c>
      <c r="B162" s="34"/>
      <c r="D162" s="66">
        <v>7.14</v>
      </c>
      <c r="E162" s="33" t="s">
        <v>354</v>
      </c>
      <c r="K162" s="8" t="s">
        <v>355</v>
      </c>
    </row>
    <row r="163" ht="12.75" customHeight="1">
      <c r="A163" s="37" t="s">
        <v>356</v>
      </c>
      <c r="B163" s="34"/>
      <c r="D163" s="66">
        <v>3.57</v>
      </c>
      <c r="E163" s="33" t="s">
        <v>357</v>
      </c>
      <c r="K163" s="102" t="s">
        <v>358</v>
      </c>
    </row>
    <row r="164" ht="12.75" customHeight="1"/>
    <row r="165" ht="12.75" customHeight="1">
      <c r="A165" s="32" t="s">
        <v>322</v>
      </c>
      <c r="K165" s="34" t="s">
        <v>359</v>
      </c>
    </row>
    <row r="166" ht="12.75" customHeight="1">
      <c r="K166" s="8" t="s">
        <v>360</v>
      </c>
    </row>
    <row r="167" ht="12.75" customHeight="1">
      <c r="A167" s="8" t="s">
        <v>361</v>
      </c>
      <c r="B167" s="34"/>
      <c r="D167" s="71">
        <f>F156+((C11-H36)*D162)-G12-D163*(C11-C16)</f>
        <v>37.818</v>
      </c>
      <c r="E167" s="37" t="s">
        <v>362</v>
      </c>
    </row>
    <row r="168" ht="12.75" customHeight="1">
      <c r="A168" s="8" t="s">
        <v>363</v>
      </c>
      <c r="B168" s="34"/>
      <c r="D168" s="71">
        <f>C10*D167/1000</f>
        <v>28.74168</v>
      </c>
      <c r="E168" s="37" t="s">
        <v>364</v>
      </c>
      <c r="K168" s="34" t="s">
        <v>365</v>
      </c>
    </row>
    <row r="169" ht="16.5" customHeight="1"/>
    <row r="170" ht="12.75" customHeight="1">
      <c r="A170" s="44" t="s">
        <v>366</v>
      </c>
      <c r="K170" s="34" t="s">
        <v>367</v>
      </c>
    </row>
    <row r="171" ht="12.75" customHeight="1">
      <c r="K171" s="34" t="s">
        <v>368</v>
      </c>
    </row>
    <row r="172" ht="15.75" customHeight="1">
      <c r="A172" s="8" t="s">
        <v>369</v>
      </c>
      <c r="B172" s="34"/>
      <c r="D172" s="118">
        <f>D168*H160/C160</f>
        <v>48.2860224</v>
      </c>
      <c r="E172" s="37" t="s">
        <v>370</v>
      </c>
      <c r="I172" s="16"/>
    </row>
    <row r="173" ht="12.75" customHeight="1">
      <c r="K173" s="89" t="s">
        <v>371</v>
      </c>
      <c r="M173" s="119" t="s">
        <v>372</v>
      </c>
      <c r="N173" s="119"/>
      <c r="O173" s="119"/>
      <c r="P173" s="119"/>
      <c r="Q173" s="119"/>
    </row>
    <row r="174" ht="12.75" customHeight="1">
      <c r="K174" s="34" t="s">
        <v>373</v>
      </c>
    </row>
    <row r="175" ht="12.75" customHeight="1">
      <c r="A175" s="10"/>
      <c r="B175" s="11"/>
      <c r="C175" s="11"/>
      <c r="D175" s="12"/>
      <c r="E175" s="12"/>
      <c r="F175" s="13"/>
      <c r="G175" s="14"/>
    </row>
    <row r="176" ht="12.75" customHeight="1">
      <c r="A176" s="15" t="s">
        <v>39</v>
      </c>
      <c r="B176" s="16"/>
      <c r="C176" s="16"/>
      <c r="D176" s="17"/>
      <c r="E176" s="17"/>
      <c r="F176" s="16"/>
      <c r="G176" s="18"/>
      <c r="K176" s="89" t="s">
        <v>374</v>
      </c>
      <c r="M176" s="120" t="s">
        <v>375</v>
      </c>
    </row>
    <row r="177" ht="12.75" customHeight="1">
      <c r="A177" s="20"/>
      <c r="B177" s="21" t="s">
        <v>40</v>
      </c>
      <c r="G177" s="18"/>
      <c r="K177" s="34" t="s">
        <v>376</v>
      </c>
    </row>
    <row r="178" ht="12.75" customHeight="1">
      <c r="A178" s="22"/>
      <c r="B178" s="23"/>
      <c r="C178" s="23"/>
      <c r="D178" s="23"/>
      <c r="E178" s="23"/>
      <c r="F178" s="23"/>
      <c r="G178" s="121"/>
    </row>
    <row r="179" ht="12.75" customHeight="1">
      <c r="K179" s="89" t="s">
        <v>377</v>
      </c>
      <c r="M179" s="120" t="s">
        <v>378</v>
      </c>
    </row>
    <row r="180" ht="12.75" customHeight="1">
      <c r="A180" s="25" t="s">
        <v>41</v>
      </c>
      <c r="K180" s="34" t="s">
        <v>376</v>
      </c>
    </row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>
      <c r="A200" s="8" t="s">
        <v>379</v>
      </c>
    </row>
    <row r="201" ht="12.75" customHeight="1">
      <c r="A201" s="8" t="s">
        <v>141</v>
      </c>
    </row>
    <row r="202" ht="12.75" customHeight="1"/>
    <row r="203" ht="12.75" customHeight="1"/>
    <row r="204" ht="12.75" customHeight="1"/>
    <row r="205" ht="12.75" customHeight="1">
      <c r="A205" s="122">
        <v>2.0</v>
      </c>
    </row>
    <row r="206" ht="12.75" customHeight="1">
      <c r="A206" s="122">
        <v>3.0</v>
      </c>
    </row>
    <row r="207" ht="12.75" customHeight="1">
      <c r="A207" s="122">
        <v>4.0</v>
      </c>
    </row>
    <row r="208" ht="12.75" customHeight="1">
      <c r="A208" s="122">
        <v>5.0</v>
      </c>
    </row>
    <row r="209" ht="12.75" customHeight="1">
      <c r="A209" s="122">
        <v>6.0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M176:Q176"/>
    <mergeCell ref="M179:Q179"/>
    <mergeCell ref="H54:I54"/>
    <mergeCell ref="K110:T110"/>
    <mergeCell ref="O149:S149"/>
    <mergeCell ref="K153:V153"/>
    <mergeCell ref="K157:R157"/>
    <mergeCell ref="K163:V163"/>
    <mergeCell ref="B177:F177"/>
  </mergeCells>
  <dataValidations>
    <dataValidation type="list" allowBlank="1" showErrorMessage="1" sqref="H38">
      <formula1>$A$205:A$209</formula1>
    </dataValidation>
    <dataValidation type="list" allowBlank="1" showErrorMessage="1" sqref="H54">
      <formula1>A$200:A$201</formula1>
    </dataValidation>
  </dataValidations>
  <hyperlinks>
    <hyperlink r:id="rId1" ref="M1"/>
    <hyperlink r:id="rId2" ref="M4"/>
    <hyperlink r:id="rId3" ref="M6"/>
    <hyperlink r:id="rId4" ref="M8"/>
    <hyperlink r:id="rId5" ref="M12"/>
    <hyperlink r:id="rId6" ref="J18"/>
    <hyperlink r:id="rId7" ref="L18"/>
    <hyperlink r:id="rId8" ref="L19"/>
    <hyperlink r:id="rId9" ref="K22"/>
    <hyperlink r:id="rId10" ref="M26"/>
    <hyperlink r:id="rId11" ref="M28"/>
    <hyperlink r:id="rId12" ref="M29"/>
    <hyperlink r:id="rId13" ref="M30"/>
    <hyperlink r:id="rId14" ref="M34"/>
    <hyperlink r:id="rId15" ref="J44"/>
    <hyperlink r:id="rId16" ref="J45"/>
    <hyperlink r:id="rId17" location="p2001c2fa9960220001" ref="G57"/>
    <hyperlink r:id="rId18" location="p2001c2fa9960220001" ref="H57"/>
    <hyperlink r:id="rId19" location="p2001c2fa9960220001" ref="H62"/>
    <hyperlink r:id="rId20" location="p2000a1f99976_93002" ref="I109"/>
    <hyperlink r:id="rId21" ref="K109"/>
    <hyperlink r:id="rId22" ref="K110"/>
    <hyperlink r:id="rId23" ref="I113"/>
    <hyperlink r:id="rId24" location="p2000a1f99976_93002" ref="K121"/>
    <hyperlink r:id="rId25" location="p2000a1f99976_93002" ref="K125"/>
    <hyperlink r:id="rId26" ref="K153"/>
    <hyperlink r:id="rId27" ref="K163"/>
    <hyperlink r:id="rId28" ref="M173"/>
    <hyperlink r:id="rId29" ref="B177"/>
  </hyperlinks>
  <printOptions/>
  <pageMargins bottom="0.57" footer="0.0" header="0.0" left="0.61" right="0.55" top="0.51"/>
  <pageSetup orientation="portrait"/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4.13"/>
    <col customWidth="1" min="3" max="4" width="8.63"/>
    <col customWidth="1" min="5" max="5" width="5.88"/>
    <col customWidth="1" min="6" max="6" width="13.38"/>
    <col customWidth="1" min="7" max="7" width="12.63"/>
    <col customWidth="1" min="8" max="8" width="10.0"/>
    <col customWidth="1" min="9" max="9" width="8.63"/>
    <col customWidth="1" min="10" max="10" width="6.75"/>
    <col customWidth="1" min="11" max="11" width="8.63"/>
    <col customWidth="1" min="12" max="12" width="10.38"/>
    <col customWidth="1" min="13" max="13" width="14.0"/>
    <col customWidth="1" min="14" max="18" width="8.63"/>
    <col customWidth="1" min="19" max="19" width="13.63"/>
    <col customWidth="1" min="20" max="26" width="8.63"/>
  </cols>
  <sheetData>
    <row r="1" ht="12.75" customHeight="1">
      <c r="A1" s="26" t="s">
        <v>42</v>
      </c>
    </row>
    <row r="2" ht="12.75" customHeight="1">
      <c r="A2" s="19" t="s">
        <v>380</v>
      </c>
    </row>
    <row r="3" ht="12.75" customHeight="1"/>
    <row r="4" ht="12.75" customHeight="1">
      <c r="A4" s="28" t="s">
        <v>381</v>
      </c>
      <c r="B4" s="29"/>
      <c r="C4" s="29"/>
      <c r="D4" s="29"/>
      <c r="E4" s="29"/>
      <c r="F4" s="29"/>
      <c r="G4" s="29"/>
      <c r="H4" s="29"/>
      <c r="I4" s="30"/>
    </row>
    <row r="5" ht="16.5" customHeight="1"/>
    <row r="6" ht="12.75" customHeight="1">
      <c r="A6" s="31" t="s">
        <v>45</v>
      </c>
    </row>
    <row r="7" ht="17.25" customHeight="1"/>
    <row r="8" ht="12.75" customHeight="1">
      <c r="A8" s="32" t="s">
        <v>46</v>
      </c>
      <c r="B8" s="4"/>
      <c r="C8" s="4"/>
      <c r="D8" s="4"/>
    </row>
    <row r="9" ht="12.75" customHeight="1"/>
    <row r="10" ht="18.0" customHeight="1">
      <c r="A10" s="33" t="s">
        <v>382</v>
      </c>
      <c r="B10" s="34"/>
      <c r="C10" s="35">
        <v>760.0</v>
      </c>
      <c r="D10" s="36" t="s">
        <v>383</v>
      </c>
      <c r="F10" s="37" t="s">
        <v>384</v>
      </c>
      <c r="G10" s="34"/>
      <c r="H10" s="38">
        <v>180.0</v>
      </c>
      <c r="I10" s="39" t="s">
        <v>50</v>
      </c>
    </row>
    <row r="11" ht="18.0" customHeight="1">
      <c r="A11" s="37" t="s">
        <v>51</v>
      </c>
      <c r="B11" s="34"/>
      <c r="C11" s="38">
        <v>35.0</v>
      </c>
      <c r="D11" s="39" t="s">
        <v>50</v>
      </c>
      <c r="F11" s="37" t="s">
        <v>385</v>
      </c>
      <c r="G11" s="34"/>
      <c r="H11" s="38">
        <v>0.0</v>
      </c>
      <c r="I11" s="39" t="s">
        <v>50</v>
      </c>
      <c r="K11" s="34" t="s">
        <v>386</v>
      </c>
    </row>
    <row r="12" ht="18.0" customHeight="1">
      <c r="A12" s="37" t="s">
        <v>53</v>
      </c>
      <c r="B12" s="4"/>
      <c r="C12" s="38">
        <v>4.0</v>
      </c>
      <c r="D12" s="8" t="s">
        <v>54</v>
      </c>
      <c r="G12" s="38">
        <v>140.0</v>
      </c>
      <c r="H12" s="37" t="s">
        <v>387</v>
      </c>
      <c r="K12" s="40" t="s">
        <v>57</v>
      </c>
    </row>
    <row r="13" ht="15.75" customHeight="1">
      <c r="K13" s="40" t="s">
        <v>59</v>
      </c>
    </row>
    <row r="14" ht="12.75" customHeight="1">
      <c r="A14" s="32" t="s">
        <v>388</v>
      </c>
      <c r="K14" s="34"/>
    </row>
    <row r="15" ht="18.0" customHeight="1">
      <c r="F15" s="8" t="s">
        <v>61</v>
      </c>
      <c r="G15" s="37"/>
      <c r="H15" s="34"/>
      <c r="K15" s="42" t="s">
        <v>389</v>
      </c>
      <c r="R15" s="44" t="s">
        <v>390</v>
      </c>
    </row>
    <row r="16" ht="18.0" customHeight="1">
      <c r="A16" s="37" t="s">
        <v>391</v>
      </c>
      <c r="C16" s="37"/>
      <c r="F16" s="34" t="s">
        <v>392</v>
      </c>
      <c r="G16" s="34"/>
      <c r="H16" s="38">
        <v>7.5</v>
      </c>
      <c r="I16" s="41">
        <v>15.0</v>
      </c>
      <c r="K16" s="34" t="s">
        <v>393</v>
      </c>
    </row>
    <row r="17" ht="18.0" customHeight="1">
      <c r="A17" s="37" t="s">
        <v>394</v>
      </c>
      <c r="C17" s="38">
        <v>6.0</v>
      </c>
      <c r="D17" s="36" t="s">
        <v>395</v>
      </c>
      <c r="F17" s="44" t="s">
        <v>67</v>
      </c>
      <c r="H17" s="38">
        <v>0.925</v>
      </c>
      <c r="I17" s="52">
        <v>0.875</v>
      </c>
    </row>
    <row r="18" ht="17.25" customHeight="1">
      <c r="A18" s="51" t="s">
        <v>78</v>
      </c>
      <c r="E18" s="46" t="s">
        <v>89</v>
      </c>
    </row>
    <row r="19" ht="18.75" customHeight="1">
      <c r="A19" s="47" t="s">
        <v>80</v>
      </c>
      <c r="E19" s="49" t="s">
        <v>90</v>
      </c>
    </row>
    <row r="20" ht="18.75" customHeight="1">
      <c r="A20" s="37" t="s">
        <v>91</v>
      </c>
      <c r="C20" s="50">
        <f>(I20*C17)+I21</f>
        <v>0.935</v>
      </c>
      <c r="D20" s="39"/>
      <c r="F20" s="34" t="s">
        <v>77</v>
      </c>
      <c r="I20" s="50">
        <f>SLOPE(H17:I17,H16:I16)</f>
        <v>-0.006666666667</v>
      </c>
    </row>
    <row r="21" ht="18.0" customHeight="1">
      <c r="A21" s="34" t="s">
        <v>82</v>
      </c>
      <c r="F21" s="34" t="s">
        <v>79</v>
      </c>
      <c r="I21" s="50">
        <f>INTERCEPT(H17:I17,H16:I16)</f>
        <v>0.975</v>
      </c>
    </row>
    <row r="22" ht="17.25" customHeight="1"/>
    <row r="23" ht="33.0" customHeight="1">
      <c r="A23" s="32" t="s">
        <v>396</v>
      </c>
    </row>
    <row r="24" ht="17.25" customHeight="1">
      <c r="E24" s="37"/>
      <c r="G24" s="37"/>
      <c r="H24" s="34"/>
      <c r="K24" s="53" t="s">
        <v>93</v>
      </c>
    </row>
    <row r="25" ht="18.0" customHeight="1">
      <c r="A25" s="37" t="s">
        <v>397</v>
      </c>
      <c r="B25" s="34"/>
      <c r="C25" s="38">
        <v>25.0</v>
      </c>
      <c r="D25" s="39" t="s">
        <v>50</v>
      </c>
      <c r="E25" s="37" t="s">
        <v>398</v>
      </c>
      <c r="G25" s="37"/>
      <c r="H25" s="38">
        <v>3.3</v>
      </c>
      <c r="I25" s="39" t="s">
        <v>50</v>
      </c>
      <c r="K25" s="55" t="s">
        <v>98</v>
      </c>
      <c r="L25" s="56" t="s">
        <v>399</v>
      </c>
      <c r="M25" s="57" t="s">
        <v>400</v>
      </c>
    </row>
    <row r="26" ht="18.0" customHeight="1">
      <c r="A26" s="34" t="s">
        <v>401</v>
      </c>
      <c r="C26" s="38">
        <v>15.0</v>
      </c>
      <c r="D26" s="39" t="s">
        <v>402</v>
      </c>
      <c r="E26" s="58" t="s">
        <v>101</v>
      </c>
      <c r="K26" s="59" t="s">
        <v>50</v>
      </c>
      <c r="L26" s="60" t="s">
        <v>403</v>
      </c>
      <c r="M26" s="61" t="s">
        <v>50</v>
      </c>
      <c r="O26" s="37" t="s">
        <v>103</v>
      </c>
    </row>
    <row r="27" ht="18.0" customHeight="1">
      <c r="A27" s="51"/>
      <c r="F27" s="34" t="s">
        <v>404</v>
      </c>
      <c r="G27" s="34"/>
      <c r="H27" s="41">
        <v>3.0</v>
      </c>
      <c r="I27" s="39" t="s">
        <v>50</v>
      </c>
      <c r="K27" s="62">
        <v>2.0</v>
      </c>
      <c r="L27" s="63">
        <v>0.61</v>
      </c>
      <c r="M27" s="64">
        <v>0.5</v>
      </c>
      <c r="O27" s="37" t="s">
        <v>105</v>
      </c>
    </row>
    <row r="28" ht="18.0" customHeight="1">
      <c r="A28" s="31" t="s">
        <v>405</v>
      </c>
      <c r="F28" s="48"/>
      <c r="K28" s="62">
        <v>3.0</v>
      </c>
      <c r="L28" s="63">
        <v>0.88</v>
      </c>
      <c r="M28" s="64">
        <v>0.8</v>
      </c>
      <c r="O28" s="37" t="s">
        <v>406</v>
      </c>
    </row>
    <row r="29" ht="18.0" customHeight="1">
      <c r="A29" s="37"/>
      <c r="C29" s="34"/>
      <c r="D29" s="39"/>
      <c r="F29" s="49"/>
      <c r="K29" s="62">
        <v>4.0</v>
      </c>
      <c r="L29" s="63">
        <v>1.03</v>
      </c>
      <c r="M29" s="64">
        <v>1.0</v>
      </c>
      <c r="O29" s="37" t="s">
        <v>108</v>
      </c>
    </row>
    <row r="30" ht="18.0" customHeight="1">
      <c r="A30" s="34" t="s">
        <v>407</v>
      </c>
      <c r="C30" s="65">
        <f>(C25-H25)/C25</f>
        <v>0.868</v>
      </c>
      <c r="F30" s="37" t="s">
        <v>408</v>
      </c>
      <c r="H30" s="66">
        <f>M33</f>
        <v>0.8</v>
      </c>
      <c r="I30" s="39" t="s">
        <v>50</v>
      </c>
      <c r="K30" s="62">
        <v>5.0</v>
      </c>
      <c r="L30" s="63">
        <v>1.23</v>
      </c>
      <c r="M30" s="64">
        <v>1.3</v>
      </c>
      <c r="O30" s="37" t="s">
        <v>409</v>
      </c>
    </row>
    <row r="31" ht="21.0" customHeight="1">
      <c r="A31" s="34" t="s">
        <v>112</v>
      </c>
      <c r="C31" s="66">
        <f>L33</f>
        <v>0.88</v>
      </c>
      <c r="D31" s="36" t="s">
        <v>410</v>
      </c>
      <c r="E31" s="37" t="s">
        <v>411</v>
      </c>
      <c r="F31" s="37"/>
      <c r="H31" s="66">
        <f>IF(H25&gt;H30,C31,(H25/(2.2+H25))*3.3)</f>
        <v>0.88</v>
      </c>
      <c r="I31" s="36" t="s">
        <v>412</v>
      </c>
      <c r="K31" s="62">
        <v>6.0</v>
      </c>
      <c r="L31" s="63">
        <v>1.41</v>
      </c>
      <c r="M31" s="64">
        <v>1.65</v>
      </c>
      <c r="O31" s="37" t="s">
        <v>413</v>
      </c>
    </row>
    <row r="32" ht="18.0" customHeight="1">
      <c r="E32" s="37" t="s">
        <v>414</v>
      </c>
      <c r="F32" s="37"/>
      <c r="H32" s="66">
        <f>H31*(C33^(C26-15))</f>
        <v>0.88</v>
      </c>
      <c r="I32" s="36" t="s">
        <v>415</v>
      </c>
      <c r="K32" s="20"/>
      <c r="M32" s="18"/>
      <c r="O32" s="37" t="s">
        <v>416</v>
      </c>
    </row>
    <row r="33" ht="18.0" customHeight="1">
      <c r="A33" s="34" t="s">
        <v>417</v>
      </c>
      <c r="C33" s="50">
        <f>IF(H25&gt;H30,1.058,1.098)</f>
        <v>1.058</v>
      </c>
      <c r="D33" s="37" t="s">
        <v>418</v>
      </c>
      <c r="F33" s="37"/>
      <c r="H33" s="66">
        <f>H32/C30</f>
        <v>1.013824885</v>
      </c>
      <c r="I33" s="36" t="s">
        <v>419</v>
      </c>
      <c r="K33" s="68">
        <f>H27</f>
        <v>3</v>
      </c>
      <c r="L33" s="69">
        <f>VLOOKUP(K33,K27:M31,2)</f>
        <v>0.88</v>
      </c>
      <c r="M33" s="70">
        <f>VLOOKUP(K33,K27:M31,3)</f>
        <v>0.8</v>
      </c>
      <c r="O33" s="37" t="s">
        <v>420</v>
      </c>
    </row>
    <row r="34" ht="17.25" customHeight="1">
      <c r="O34" s="37" t="s">
        <v>124</v>
      </c>
      <c r="T34" s="42" t="s">
        <v>421</v>
      </c>
    </row>
    <row r="35" ht="18.0" customHeight="1">
      <c r="A35" s="32" t="s">
        <v>422</v>
      </c>
    </row>
    <row r="36" ht="15.75" customHeight="1">
      <c r="E36" s="37"/>
      <c r="F36" s="8" t="s">
        <v>61</v>
      </c>
      <c r="G36" s="37"/>
      <c r="H36" s="34"/>
      <c r="O36" s="37" t="s">
        <v>127</v>
      </c>
    </row>
    <row r="37" ht="18.0" customHeight="1">
      <c r="A37" s="37" t="s">
        <v>423</v>
      </c>
      <c r="B37" s="34"/>
      <c r="C37" s="38">
        <v>4.0</v>
      </c>
      <c r="D37" s="39" t="s">
        <v>50</v>
      </c>
      <c r="E37" s="37"/>
      <c r="F37" s="34" t="s">
        <v>424</v>
      </c>
      <c r="G37" s="34"/>
      <c r="H37" s="38">
        <v>1.0</v>
      </c>
      <c r="I37" s="41">
        <v>1.8</v>
      </c>
    </row>
    <row r="38" ht="18.0" customHeight="1">
      <c r="A38" s="37" t="s">
        <v>391</v>
      </c>
      <c r="F38" s="44" t="s">
        <v>67</v>
      </c>
      <c r="H38" s="52">
        <v>0.9</v>
      </c>
      <c r="I38" s="52">
        <f>1.6/1.8</f>
        <v>0.8888888889</v>
      </c>
    </row>
    <row r="39" ht="20.25" customHeight="1">
      <c r="A39" s="37" t="s">
        <v>394</v>
      </c>
      <c r="C39" s="38">
        <v>2.0</v>
      </c>
      <c r="D39" s="36" t="s">
        <v>425</v>
      </c>
      <c r="F39" s="46" t="s">
        <v>426</v>
      </c>
    </row>
    <row r="40" ht="18.0" customHeight="1">
      <c r="A40" s="51" t="s">
        <v>78</v>
      </c>
      <c r="F40" s="48" t="s">
        <v>427</v>
      </c>
    </row>
    <row r="41" ht="18.0" customHeight="1">
      <c r="A41" s="47" t="s">
        <v>80</v>
      </c>
      <c r="F41" s="49" t="s">
        <v>428</v>
      </c>
    </row>
    <row r="42" ht="17.25" customHeight="1">
      <c r="A42" s="37" t="s">
        <v>91</v>
      </c>
      <c r="C42" s="66">
        <f>(I42*C39)+I43</f>
        <v>0.8861111111</v>
      </c>
      <c r="D42" s="39"/>
      <c r="F42" s="34" t="s">
        <v>77</v>
      </c>
      <c r="I42" s="50">
        <f>SLOPE(H38:I38,H37:I37)</f>
        <v>-0.01388888889</v>
      </c>
    </row>
    <row r="43" ht="18.0" customHeight="1">
      <c r="A43" s="34" t="s">
        <v>82</v>
      </c>
      <c r="F43" s="34" t="s">
        <v>79</v>
      </c>
      <c r="I43" s="50">
        <f>INTERCEPT(H38:I38,H37:I37)</f>
        <v>0.9138888889</v>
      </c>
    </row>
    <row r="44" ht="17.25" customHeight="1"/>
    <row r="45" ht="17.25" customHeight="1">
      <c r="A45" s="31" t="s">
        <v>126</v>
      </c>
      <c r="B45" s="4"/>
    </row>
    <row r="46" ht="18.0" customHeight="1"/>
    <row r="47" ht="12.75" customHeight="1">
      <c r="A47" s="8" t="s">
        <v>429</v>
      </c>
      <c r="B47" s="34"/>
      <c r="C47" s="71">
        <f>H10/C11</f>
        <v>5.142857143</v>
      </c>
      <c r="E47" s="72" t="str">
        <f>IF(C47&lt;4,"Use this Worksheet for Post-Anoxic",IF(C48&gt;0.75,"Use this Worksheet for Post-Anoxic","Use Worksheet 2 for Pre-Anoxic"))</f>
        <v>Use this Worksheet for Post-Anoxic</v>
      </c>
    </row>
    <row r="48" ht="12.75" customHeight="1">
      <c r="A48" s="8" t="s">
        <v>129</v>
      </c>
      <c r="C48" s="65">
        <f>(C11-C37)/C11</f>
        <v>0.8857142857</v>
      </c>
      <c r="E48" s="72" t="s">
        <v>130</v>
      </c>
      <c r="K48" s="8" t="s">
        <v>60</v>
      </c>
    </row>
    <row r="49" ht="15.75" customHeight="1">
      <c r="K49" s="8" t="s">
        <v>62</v>
      </c>
    </row>
    <row r="50" ht="15.75" customHeight="1">
      <c r="A50" s="31" t="s">
        <v>133</v>
      </c>
    </row>
    <row r="51" ht="18.0" customHeight="1">
      <c r="K51" s="42" t="s">
        <v>131</v>
      </c>
    </row>
    <row r="52" ht="18.0" customHeight="1">
      <c r="A52" s="37" t="s">
        <v>135</v>
      </c>
      <c r="B52" s="37"/>
      <c r="C52" s="73">
        <v>500.0</v>
      </c>
      <c r="D52" s="36" t="s">
        <v>430</v>
      </c>
      <c r="E52" s="74" t="s">
        <v>137</v>
      </c>
      <c r="F52" s="75"/>
      <c r="G52" s="76"/>
      <c r="K52" s="8" t="s">
        <v>132</v>
      </c>
    </row>
    <row r="53" ht="18.0" customHeight="1">
      <c r="A53" s="77" t="s">
        <v>139</v>
      </c>
      <c r="B53" s="34"/>
      <c r="C53" s="36"/>
      <c r="D53" s="36"/>
      <c r="E53" s="78" t="s">
        <v>140</v>
      </c>
      <c r="F53" s="123"/>
      <c r="G53" s="80"/>
      <c r="H53" s="81" t="s">
        <v>141</v>
      </c>
      <c r="I53" s="82"/>
    </row>
    <row r="54" ht="18.0" customHeight="1">
      <c r="A54" s="37" t="s">
        <v>142</v>
      </c>
      <c r="B54" s="37"/>
      <c r="C54" s="41">
        <v>2.4</v>
      </c>
      <c r="D54" s="36" t="s">
        <v>143</v>
      </c>
      <c r="F54" s="37" t="s">
        <v>144</v>
      </c>
      <c r="G54" s="37"/>
      <c r="H54" s="83">
        <v>0.6</v>
      </c>
      <c r="K54" s="40" t="s">
        <v>431</v>
      </c>
    </row>
    <row r="55" ht="18.0" customHeight="1">
      <c r="A55" s="8" t="s">
        <v>145</v>
      </c>
      <c r="C55" s="41">
        <v>1.5</v>
      </c>
      <c r="F55" s="84" t="s">
        <v>146</v>
      </c>
      <c r="H55" s="85"/>
    </row>
    <row r="56" ht="18.0" customHeight="1">
      <c r="A56" s="86" t="s">
        <v>147</v>
      </c>
      <c r="F56" s="84" t="s">
        <v>148</v>
      </c>
      <c r="H56" s="27"/>
      <c r="K56" s="40" t="s">
        <v>432</v>
      </c>
    </row>
    <row r="57" ht="18.0" customHeight="1"/>
    <row r="58" ht="18.0" customHeight="1">
      <c r="A58" s="31" t="s">
        <v>149</v>
      </c>
      <c r="K58" s="91" t="s">
        <v>198</v>
      </c>
    </row>
    <row r="59" ht="18.0" customHeight="1"/>
    <row r="60" ht="18.75" customHeight="1">
      <c r="A60" s="32" t="s">
        <v>433</v>
      </c>
      <c r="F60" s="87" t="s">
        <v>151</v>
      </c>
      <c r="K60" s="92" t="s">
        <v>434</v>
      </c>
    </row>
    <row r="61" ht="16.5" customHeight="1">
      <c r="F61" s="88" t="s">
        <v>152</v>
      </c>
      <c r="K61" s="92" t="s">
        <v>203</v>
      </c>
    </row>
    <row r="62" ht="18.0" customHeight="1">
      <c r="A62" s="37" t="s">
        <v>153</v>
      </c>
      <c r="B62" s="34"/>
      <c r="C62" s="83">
        <v>0.6</v>
      </c>
      <c r="D62" s="89" t="s">
        <v>154</v>
      </c>
      <c r="F62" s="90" t="s">
        <v>155</v>
      </c>
      <c r="K62" s="94" t="s">
        <v>172</v>
      </c>
    </row>
    <row r="63" ht="18.0" customHeight="1">
      <c r="A63" s="8" t="s">
        <v>435</v>
      </c>
      <c r="B63" s="34"/>
      <c r="C63" s="71">
        <f>C$10*H10</f>
        <v>136800</v>
      </c>
      <c r="D63" s="39" t="s">
        <v>157</v>
      </c>
      <c r="K63" s="92" t="s">
        <v>175</v>
      </c>
    </row>
    <row r="64" ht="18.0" customHeight="1">
      <c r="C64" s="39"/>
      <c r="D64" s="39"/>
      <c r="F64" s="8" t="s">
        <v>436</v>
      </c>
      <c r="G64" s="34"/>
      <c r="H64" s="71">
        <f>C66/C$62</f>
        <v>76</v>
      </c>
      <c r="I64" s="36" t="s">
        <v>437</v>
      </c>
      <c r="K64" s="3" t="s">
        <v>438</v>
      </c>
    </row>
    <row r="65" ht="18.0" customHeight="1">
      <c r="A65" s="8" t="s">
        <v>161</v>
      </c>
      <c r="B65" s="34"/>
      <c r="C65" s="93">
        <f>C63/C17</f>
        <v>22800</v>
      </c>
      <c r="D65" s="36" t="s">
        <v>439</v>
      </c>
      <c r="F65" s="8" t="str">
        <f>IF(H53="cylindrical","Calculated Tank Diam.  =","  Calculated Tank Width =")</f>
        <v>  Calculated Tank Width =</v>
      </c>
      <c r="H65" s="71">
        <f>IF(H$53="cylindrical",((H64/C$54)*4/PI())^0.5,((H64/C$54)/C$55)^0.5)</f>
        <v>4.594682917</v>
      </c>
      <c r="I65" s="36" t="s">
        <v>143</v>
      </c>
      <c r="K65" s="3" t="s">
        <v>440</v>
      </c>
    </row>
    <row r="66" ht="18.0" customHeight="1">
      <c r="A66" s="8" t="s">
        <v>163</v>
      </c>
      <c r="B66" s="34"/>
      <c r="C66" s="66">
        <f>C65/C$52</f>
        <v>45.6</v>
      </c>
      <c r="D66" s="36" t="s">
        <v>441</v>
      </c>
      <c r="F66" s="8" t="str">
        <f>IF(H53="cylindrical","","  Calculated Tank Length =")</f>
        <v>  Calculated Tank Length =</v>
      </c>
      <c r="H66" s="71">
        <f>IF(H$53="cylindrical","",(H64/C$54)/H65)</f>
        <v>6.892024376</v>
      </c>
      <c r="I66" s="36" t="s">
        <v>143</v>
      </c>
    </row>
    <row r="67" ht="18.0" customHeight="1">
      <c r="A67" s="34" t="s">
        <v>442</v>
      </c>
      <c r="C67" s="71">
        <f>H64-((1-H$54)*C66)</f>
        <v>57.76</v>
      </c>
      <c r="D67" s="36" t="s">
        <v>443</v>
      </c>
      <c r="E67" s="34" t="s">
        <v>168</v>
      </c>
      <c r="K67" s="94" t="s">
        <v>184</v>
      </c>
    </row>
    <row r="68" ht="18.0" customHeight="1">
      <c r="F68" s="8" t="s">
        <v>210</v>
      </c>
      <c r="H68" s="93">
        <f>C67/(C$10/(24*60))</f>
        <v>109.44</v>
      </c>
      <c r="I68" s="36" t="s">
        <v>171</v>
      </c>
      <c r="K68" s="92" t="s">
        <v>186</v>
      </c>
    </row>
    <row r="69" ht="18.0" customHeight="1">
      <c r="A69" s="34" t="s">
        <v>213</v>
      </c>
      <c r="F69" s="8" t="s">
        <v>211</v>
      </c>
      <c r="H69" s="93">
        <f>H68/C$12</f>
        <v>27.36</v>
      </c>
      <c r="I69" s="36" t="s">
        <v>171</v>
      </c>
      <c r="K69" s="92" t="s">
        <v>188</v>
      </c>
    </row>
    <row r="70" ht="18.0" customHeight="1">
      <c r="A70" s="34" t="s">
        <v>444</v>
      </c>
      <c r="C70" s="66">
        <f>C20*C17</f>
        <v>5.61</v>
      </c>
      <c r="D70" s="36" t="s">
        <v>445</v>
      </c>
      <c r="E70" s="8" t="s">
        <v>214</v>
      </c>
      <c r="G70" s="34"/>
      <c r="H70" s="93">
        <f>(C63-C71)/C10</f>
        <v>11.7</v>
      </c>
      <c r="I70" s="39" t="s">
        <v>50</v>
      </c>
      <c r="K70" s="92" t="s">
        <v>190</v>
      </c>
    </row>
    <row r="71" ht="18.0" customHeight="1">
      <c r="A71" s="8" t="s">
        <v>220</v>
      </c>
      <c r="B71" s="34"/>
      <c r="C71" s="93">
        <f>C70*C65</f>
        <v>127908</v>
      </c>
      <c r="D71" s="39" t="s">
        <v>157</v>
      </c>
      <c r="F71" s="46" t="s">
        <v>446</v>
      </c>
      <c r="K71" s="92" t="s">
        <v>219</v>
      </c>
    </row>
    <row r="72" ht="20.25" customHeight="1">
      <c r="F72" s="48" t="s">
        <v>447</v>
      </c>
      <c r="K72" s="92" t="s">
        <v>448</v>
      </c>
    </row>
    <row r="73" ht="16.5" customHeight="1"/>
    <row r="74" ht="15.75" customHeight="1">
      <c r="A74" s="32" t="s">
        <v>449</v>
      </c>
      <c r="K74" s="91" t="s">
        <v>225</v>
      </c>
    </row>
    <row r="75" ht="18.0" customHeight="1"/>
    <row r="76" ht="18.0" customHeight="1">
      <c r="A76" s="37" t="s">
        <v>153</v>
      </c>
      <c r="B76" s="34"/>
      <c r="C76" s="83">
        <v>0.6999925966356966</v>
      </c>
      <c r="D76" s="89" t="s">
        <v>450</v>
      </c>
      <c r="H76" s="71">
        <f>H77-((1-H$54)*C80)</f>
        <v>53.97461102</v>
      </c>
      <c r="I76" s="36" t="s">
        <v>451</v>
      </c>
      <c r="K76" s="94" t="s">
        <v>452</v>
      </c>
    </row>
    <row r="77" ht="18.0" customHeight="1">
      <c r="A77" s="8" t="s">
        <v>453</v>
      </c>
      <c r="B77" s="34"/>
      <c r="C77" s="71">
        <f>C$10*(C11)</f>
        <v>26600</v>
      </c>
      <c r="D77" s="39" t="s">
        <v>157</v>
      </c>
      <c r="F77" s="8" t="s">
        <v>436</v>
      </c>
      <c r="G77" s="34"/>
      <c r="H77" s="71">
        <f>C80/C$76</f>
        <v>74.96442921</v>
      </c>
      <c r="I77" s="36" t="s">
        <v>454</v>
      </c>
      <c r="K77" s="92" t="s">
        <v>455</v>
      </c>
    </row>
    <row r="78" ht="18.0" customHeight="1">
      <c r="A78" s="39"/>
      <c r="B78" s="39"/>
      <c r="C78" s="39"/>
      <c r="D78" s="39"/>
      <c r="F78" s="8" t="str">
        <f>IF(H53="cylindrical","Calculated Tank Diam.  =","  Calculated Tank Width =")</f>
        <v>  Calculated Tank Width =</v>
      </c>
      <c r="H78" s="71">
        <f>IF(H$53="cylindrical",((H77/C$54)*4/PI())^0.5,((H77/C$54)/C$55)^0.5)</f>
        <v>4.563272133</v>
      </c>
      <c r="I78" s="36" t="s">
        <v>143</v>
      </c>
      <c r="K78" s="92" t="s">
        <v>205</v>
      </c>
    </row>
    <row r="79" ht="18.0" customHeight="1">
      <c r="A79" s="8" t="s">
        <v>161</v>
      </c>
      <c r="B79" s="34"/>
      <c r="C79" s="93">
        <f>C77/H33</f>
        <v>26237.27273</v>
      </c>
      <c r="D79" s="36" t="s">
        <v>456</v>
      </c>
      <c r="F79" s="8" t="str">
        <f>IF(H53="cylindrical","","  Calculated Tank Length =")</f>
        <v>  Calculated Tank Length =</v>
      </c>
      <c r="H79" s="71">
        <f>IF(H$53="cylindrical","",(H77/C$54)/H78)</f>
        <v>6.844908199</v>
      </c>
      <c r="I79" s="36" t="s">
        <v>143</v>
      </c>
      <c r="K79" s="92" t="s">
        <v>207</v>
      </c>
    </row>
    <row r="80" ht="18.0" customHeight="1">
      <c r="A80" s="8" t="s">
        <v>163</v>
      </c>
      <c r="B80" s="34"/>
      <c r="C80" s="66">
        <f>C79/C$52</f>
        <v>52.47454545</v>
      </c>
      <c r="D80" s="36" t="s">
        <v>457</v>
      </c>
    </row>
    <row r="81" ht="18.0" customHeight="1">
      <c r="E81" s="34" t="s">
        <v>168</v>
      </c>
      <c r="H81" s="39"/>
      <c r="K81" s="94" t="s">
        <v>212</v>
      </c>
    </row>
    <row r="82" ht="18.0" customHeight="1">
      <c r="A82" s="8" t="s">
        <v>248</v>
      </c>
      <c r="F82" s="8" t="s">
        <v>210</v>
      </c>
      <c r="H82" s="93">
        <f>H76/(C$10/(24*60))</f>
        <v>102.267684</v>
      </c>
      <c r="I82" s="36" t="s">
        <v>171</v>
      </c>
      <c r="K82" s="92" t="s">
        <v>215</v>
      </c>
    </row>
    <row r="83" ht="18.0" customHeight="1">
      <c r="A83" s="8" t="s">
        <v>458</v>
      </c>
      <c r="C83" s="71">
        <f>H64-H77</f>
        <v>1.035570795</v>
      </c>
      <c r="F83" s="8" t="s">
        <v>211</v>
      </c>
      <c r="H83" s="93">
        <f>H82/C$12</f>
        <v>25.56692101</v>
      </c>
      <c r="I83" s="36" t="s">
        <v>171</v>
      </c>
      <c r="K83" s="92" t="s">
        <v>459</v>
      </c>
    </row>
    <row r="84" ht="17.25" customHeight="1">
      <c r="A84" s="46" t="s">
        <v>460</v>
      </c>
      <c r="K84" s="92" t="s">
        <v>461</v>
      </c>
    </row>
    <row r="85" ht="18.75" customHeight="1">
      <c r="A85" s="48" t="s">
        <v>462</v>
      </c>
      <c r="F85" s="89" t="s">
        <v>463</v>
      </c>
      <c r="H85" s="66">
        <f>C10*H70/(C79)</f>
        <v>0.3389071758</v>
      </c>
      <c r="I85" s="36" t="s">
        <v>464</v>
      </c>
    </row>
    <row r="86" ht="12.75" customHeight="1">
      <c r="A86" s="48" t="s">
        <v>465</v>
      </c>
      <c r="F86" s="89" t="s">
        <v>466</v>
      </c>
    </row>
    <row r="87" ht="12.75" customHeight="1">
      <c r="F87" s="77" t="s">
        <v>260</v>
      </c>
    </row>
    <row r="88" ht="12.75" customHeight="1">
      <c r="A88" s="32" t="s">
        <v>467</v>
      </c>
      <c r="K88" s="91" t="s">
        <v>468</v>
      </c>
    </row>
    <row r="89" ht="18.0" customHeight="1"/>
    <row r="90" ht="18.0" customHeight="1">
      <c r="A90" s="37" t="s">
        <v>153</v>
      </c>
      <c r="B90" s="34"/>
      <c r="C90" s="83">
        <v>0.3169999849606866</v>
      </c>
      <c r="D90" s="89" t="s">
        <v>469</v>
      </c>
      <c r="H90" s="66">
        <f>C93/C$90</f>
        <v>76.00000361</v>
      </c>
      <c r="I90" s="36" t="s">
        <v>470</v>
      </c>
      <c r="K90" s="92" t="s">
        <v>471</v>
      </c>
    </row>
    <row r="91" ht="18.0" customHeight="1">
      <c r="A91" s="8" t="s">
        <v>472</v>
      </c>
      <c r="B91" s="34"/>
      <c r="C91" s="71">
        <f>C$10*(C11-H25)</f>
        <v>24092</v>
      </c>
      <c r="D91" s="39" t="s">
        <v>157</v>
      </c>
      <c r="F91" s="8" t="str">
        <f>IF(H79="cylindrical","Calculated Tank Diam.  =","  Calculated Tank Width =")</f>
        <v>  Calculated Tank Width =</v>
      </c>
      <c r="H91" s="71">
        <f>IF(H$53="cylindrical",((H90/C$54)*4/PI())^0.5,((H90/C$54)/C$55)^0.5)</f>
        <v>4.594683026</v>
      </c>
      <c r="I91" s="36" t="s">
        <v>143</v>
      </c>
      <c r="K91" s="92" t="s">
        <v>169</v>
      </c>
    </row>
    <row r="92" ht="18.0" customHeight="1">
      <c r="A92" s="8" t="s">
        <v>161</v>
      </c>
      <c r="B92" s="34"/>
      <c r="C92" s="93">
        <f>C91/C39</f>
        <v>12046</v>
      </c>
      <c r="D92" s="36" t="s">
        <v>473</v>
      </c>
      <c r="F92" s="8" t="str">
        <f>IF(H79="cylindrical","","  Calculated Tank Length =")</f>
        <v>  Calculated Tank Length =</v>
      </c>
      <c r="H92" s="71">
        <f>IF(H$53="cylindrical","",(H90/C$54)/H91)</f>
        <v>6.89202454</v>
      </c>
      <c r="I92" s="36" t="s">
        <v>143</v>
      </c>
      <c r="K92" s="92" t="s">
        <v>205</v>
      </c>
    </row>
    <row r="93" ht="18.0" customHeight="1">
      <c r="A93" s="8" t="s">
        <v>163</v>
      </c>
      <c r="B93" s="34"/>
      <c r="C93" s="66">
        <f>C92/C$52</f>
        <v>24.092</v>
      </c>
      <c r="D93" s="36" t="s">
        <v>474</v>
      </c>
      <c r="E93" s="34" t="s">
        <v>168</v>
      </c>
      <c r="K93" s="92" t="s">
        <v>207</v>
      </c>
    </row>
    <row r="94" ht="18.0" customHeight="1">
      <c r="A94" s="34" t="s">
        <v>475</v>
      </c>
      <c r="C94" s="71">
        <f>H90-((1-H$54)*C93)</f>
        <v>66.36320361</v>
      </c>
      <c r="D94" s="36" t="s">
        <v>476</v>
      </c>
      <c r="F94" s="8" t="s">
        <v>210</v>
      </c>
      <c r="H94" s="93">
        <f>C94/(C$10/(24*60))</f>
        <v>125.7408068</v>
      </c>
      <c r="I94" s="36" t="s">
        <v>171</v>
      </c>
    </row>
    <row r="95" ht="15.75" customHeight="1">
      <c r="A95" s="34" t="s">
        <v>477</v>
      </c>
      <c r="F95" s="8" t="s">
        <v>211</v>
      </c>
      <c r="H95" s="93">
        <f>H94/C$12</f>
        <v>31.43520171</v>
      </c>
      <c r="I95" s="36" t="s">
        <v>171</v>
      </c>
      <c r="K95" s="94" t="s">
        <v>212</v>
      </c>
    </row>
    <row r="96" ht="18.75" customHeight="1">
      <c r="A96" s="34" t="s">
        <v>478</v>
      </c>
      <c r="C96" s="66">
        <f>C42*C39</f>
        <v>1.772222222</v>
      </c>
      <c r="D96" s="36" t="s">
        <v>479</v>
      </c>
      <c r="E96" s="34" t="s">
        <v>480</v>
      </c>
      <c r="G96" s="34"/>
      <c r="H96" s="71">
        <f>(C91-C97)/C10</f>
        <v>3.610277778</v>
      </c>
      <c r="I96" s="39" t="s">
        <v>50</v>
      </c>
      <c r="K96" s="92" t="s">
        <v>215</v>
      </c>
    </row>
    <row r="97" ht="12.75" customHeight="1">
      <c r="A97" s="34" t="s">
        <v>481</v>
      </c>
      <c r="B97" s="34"/>
      <c r="C97" s="93">
        <f>C96*C92</f>
        <v>21348.18889</v>
      </c>
      <c r="D97" s="39" t="s">
        <v>157</v>
      </c>
      <c r="F97" s="48" t="s">
        <v>482</v>
      </c>
      <c r="K97" s="92" t="s">
        <v>483</v>
      </c>
    </row>
    <row r="98" ht="18.0" customHeight="1">
      <c r="A98" s="8" t="s">
        <v>248</v>
      </c>
      <c r="F98" s="48" t="s">
        <v>484</v>
      </c>
      <c r="H98" s="36"/>
      <c r="I98" s="36"/>
      <c r="K98" s="92" t="s">
        <v>485</v>
      </c>
    </row>
    <row r="99" ht="18.0" customHeight="1">
      <c r="A99" s="8" t="s">
        <v>250</v>
      </c>
      <c r="C99" s="71">
        <f>H64-H90</f>
        <v>-0.000003605639975</v>
      </c>
      <c r="F99" s="49" t="s">
        <v>486</v>
      </c>
      <c r="K99" s="92" t="s">
        <v>487</v>
      </c>
    </row>
    <row r="100" ht="15.75" customHeight="1">
      <c r="A100" s="46" t="s">
        <v>252</v>
      </c>
    </row>
    <row r="101" ht="18.75" customHeight="1">
      <c r="A101" s="48" t="s">
        <v>256</v>
      </c>
    </row>
    <row r="102" ht="18.0" customHeight="1">
      <c r="A102" s="48" t="s">
        <v>488</v>
      </c>
      <c r="K102" s="42" t="s">
        <v>242</v>
      </c>
    </row>
    <row r="103" ht="12.75" customHeight="1">
      <c r="K103" s="27" t="s">
        <v>244</v>
      </c>
    </row>
    <row r="104" ht="15.75" customHeight="1">
      <c r="A104" s="31" t="s">
        <v>261</v>
      </c>
      <c r="K104" s="102" t="s">
        <v>246</v>
      </c>
    </row>
    <row r="105" ht="15.75" customHeight="1"/>
    <row r="106" ht="18.0" customHeight="1">
      <c r="A106" s="32" t="s">
        <v>489</v>
      </c>
      <c r="B106" s="34"/>
      <c r="K106" s="8" t="s">
        <v>247</v>
      </c>
    </row>
    <row r="107" ht="15.0" customHeight="1">
      <c r="A107" s="77"/>
      <c r="E107" s="86"/>
      <c r="N107" s="77" t="s">
        <v>249</v>
      </c>
    </row>
    <row r="108" ht="17.25" customHeight="1">
      <c r="A108" s="37" t="s">
        <v>490</v>
      </c>
      <c r="B108" s="34"/>
      <c r="C108" s="43">
        <v>1.5</v>
      </c>
      <c r="D108" s="33" t="s">
        <v>491</v>
      </c>
      <c r="F108" s="8" t="s">
        <v>268</v>
      </c>
      <c r="H108" s="41">
        <v>2.3</v>
      </c>
      <c r="I108" s="36" t="s">
        <v>143</v>
      </c>
      <c r="K108" s="8" t="s">
        <v>251</v>
      </c>
    </row>
    <row r="109" ht="20.25" customHeight="1">
      <c r="A109" s="37" t="s">
        <v>492</v>
      </c>
      <c r="B109" s="34"/>
      <c r="C109" s="43">
        <v>4.57</v>
      </c>
      <c r="D109" s="33" t="s">
        <v>493</v>
      </c>
      <c r="F109" s="34" t="s">
        <v>272</v>
      </c>
      <c r="H109" s="73">
        <v>0.0</v>
      </c>
      <c r="I109" s="103" t="s">
        <v>494</v>
      </c>
      <c r="M109" s="77" t="s">
        <v>255</v>
      </c>
    </row>
    <row r="110" ht="18.0" customHeight="1">
      <c r="A110" s="37" t="s">
        <v>275</v>
      </c>
      <c r="B110" s="34"/>
      <c r="C110" s="104">
        <v>0.025</v>
      </c>
      <c r="D110" s="33" t="s">
        <v>276</v>
      </c>
      <c r="F110" s="34" t="s">
        <v>277</v>
      </c>
      <c r="H110" s="52">
        <v>1.0</v>
      </c>
      <c r="I110" s="36" t="s">
        <v>278</v>
      </c>
      <c r="K110" s="34" t="s">
        <v>495</v>
      </c>
    </row>
    <row r="111" ht="16.5" customHeight="1">
      <c r="A111" s="8" t="s">
        <v>279</v>
      </c>
      <c r="C111" s="41">
        <v>0.5</v>
      </c>
      <c r="F111" s="8" t="s">
        <v>280</v>
      </c>
      <c r="H111" s="52">
        <v>1.014</v>
      </c>
      <c r="I111" s="36" t="s">
        <v>278</v>
      </c>
    </row>
    <row r="112" ht="12.75" customHeight="1">
      <c r="A112" s="8" t="s">
        <v>282</v>
      </c>
      <c r="C112" s="52">
        <v>0.03</v>
      </c>
      <c r="D112" s="36" t="s">
        <v>278</v>
      </c>
      <c r="F112" s="8" t="s">
        <v>283</v>
      </c>
      <c r="H112" s="52">
        <v>1.2</v>
      </c>
      <c r="I112" s="36" t="s">
        <v>496</v>
      </c>
      <c r="K112" s="34" t="s">
        <v>497</v>
      </c>
    </row>
    <row r="113" ht="17.25" customHeight="1">
      <c r="A113" s="77" t="s">
        <v>285</v>
      </c>
      <c r="F113" s="8" t="s">
        <v>498</v>
      </c>
      <c r="H113" s="105">
        <v>0.277</v>
      </c>
      <c r="I113" s="36" t="s">
        <v>499</v>
      </c>
    </row>
    <row r="114" ht="15.75" customHeight="1">
      <c r="K114" s="34" t="s">
        <v>264</v>
      </c>
    </row>
    <row r="115" ht="15.75" customHeight="1">
      <c r="A115" s="32" t="s">
        <v>500</v>
      </c>
      <c r="K115" s="8" t="s">
        <v>501</v>
      </c>
    </row>
    <row r="116" ht="20.25" customHeight="1">
      <c r="K116" s="8" t="s">
        <v>502</v>
      </c>
    </row>
    <row r="117" ht="15.75" customHeight="1">
      <c r="A117" s="8" t="s">
        <v>289</v>
      </c>
      <c r="B117" s="34"/>
      <c r="C117" s="71">
        <f>C108*C63/1000</f>
        <v>205.2</v>
      </c>
      <c r="D117" s="39" t="s">
        <v>290</v>
      </c>
      <c r="G117" s="34" t="s">
        <v>291</v>
      </c>
      <c r="H117" s="106">
        <f>C118*C111</f>
        <v>0.02875</v>
      </c>
      <c r="I117" s="36"/>
      <c r="K117" s="8" t="s">
        <v>503</v>
      </c>
    </row>
    <row r="118" ht="18.0" customHeight="1">
      <c r="B118" s="34" t="s">
        <v>293</v>
      </c>
      <c r="C118" s="106">
        <f>C110*H108</f>
        <v>0.0575</v>
      </c>
      <c r="F118" s="8" t="s">
        <v>294</v>
      </c>
      <c r="H118" s="107">
        <f>((C117/H117)/H113)/(24)</f>
        <v>1073.614817</v>
      </c>
      <c r="I118" s="108" t="s">
        <v>504</v>
      </c>
    </row>
    <row r="119" ht="18.0" customHeight="1">
      <c r="A119" s="8" t="s">
        <v>296</v>
      </c>
      <c r="C119" s="116">
        <f>H111+(C112)+(1000*9.81*H108/100000)</f>
        <v>1.26963</v>
      </c>
      <c r="D119" s="110" t="s">
        <v>297</v>
      </c>
      <c r="K119" s="8" t="s">
        <v>281</v>
      </c>
    </row>
    <row r="120" ht="18.0" customHeight="1"/>
    <row r="121" ht="15.75" customHeight="1">
      <c r="A121" s="31" t="s">
        <v>299</v>
      </c>
    </row>
    <row r="122" ht="15.75" customHeight="1">
      <c r="A122" s="34"/>
      <c r="K122" s="42" t="s">
        <v>323</v>
      </c>
    </row>
    <row r="123" ht="15.75" customHeight="1">
      <c r="A123" s="111" t="s">
        <v>302</v>
      </c>
    </row>
    <row r="124" ht="15.75" customHeight="1">
      <c r="A124" s="37" t="s">
        <v>505</v>
      </c>
      <c r="B124" s="34"/>
      <c r="C124" s="112">
        <v>0.056</v>
      </c>
      <c r="F124" s="37" t="s">
        <v>506</v>
      </c>
      <c r="G124" s="34"/>
      <c r="H124" s="52">
        <v>1.014</v>
      </c>
      <c r="I124" s="39" t="s">
        <v>278</v>
      </c>
      <c r="K124" s="8" t="s">
        <v>325</v>
      </c>
    </row>
    <row r="125" ht="17.25" customHeight="1">
      <c r="A125" s="77" t="s">
        <v>305</v>
      </c>
      <c r="F125" s="77" t="s">
        <v>306</v>
      </c>
      <c r="K125" s="27" t="s">
        <v>330</v>
      </c>
      <c r="O125" s="102" t="s">
        <v>331</v>
      </c>
    </row>
    <row r="126" ht="15.75" customHeight="1">
      <c r="A126" s="37" t="s">
        <v>507</v>
      </c>
      <c r="C126" s="41">
        <v>0.8</v>
      </c>
      <c r="F126" s="34" t="s">
        <v>309</v>
      </c>
    </row>
    <row r="127" ht="21.0" customHeight="1">
      <c r="A127" s="37" t="s">
        <v>310</v>
      </c>
      <c r="F127" s="34" t="s">
        <v>508</v>
      </c>
      <c r="H127" s="41">
        <v>1.0</v>
      </c>
      <c r="K127" s="8" t="s">
        <v>337</v>
      </c>
    </row>
    <row r="128" ht="12.75" customHeight="1">
      <c r="A128" s="37" t="s">
        <v>509</v>
      </c>
      <c r="C128" s="41">
        <v>0.6</v>
      </c>
      <c r="F128" s="34" t="s">
        <v>314</v>
      </c>
      <c r="K128" s="27" t="s">
        <v>339</v>
      </c>
    </row>
    <row r="129" ht="12.75" customHeight="1">
      <c r="A129" s="37" t="s">
        <v>510</v>
      </c>
      <c r="C129" s="41">
        <v>2.5</v>
      </c>
      <c r="D129" s="34" t="s">
        <v>316</v>
      </c>
      <c r="F129" s="34" t="s">
        <v>511</v>
      </c>
      <c r="H129" s="52">
        <v>0.021</v>
      </c>
      <c r="I129" s="39" t="s">
        <v>278</v>
      </c>
      <c r="K129" s="102" t="s">
        <v>340</v>
      </c>
    </row>
    <row r="130" ht="16.5" customHeight="1">
      <c r="A130" s="37" t="s">
        <v>512</v>
      </c>
      <c r="C130" s="43">
        <v>1.2</v>
      </c>
      <c r="D130" s="36" t="s">
        <v>513</v>
      </c>
      <c r="F130" s="77" t="s">
        <v>305</v>
      </c>
    </row>
    <row r="131" ht="22.5" customHeight="1">
      <c r="A131" s="54" t="s">
        <v>514</v>
      </c>
      <c r="K131" s="8" t="s">
        <v>342</v>
      </c>
    </row>
    <row r="132" ht="16.5" customHeight="1">
      <c r="A132" s="32" t="s">
        <v>322</v>
      </c>
      <c r="D132" s="94"/>
      <c r="K132" s="8" t="s">
        <v>345</v>
      </c>
    </row>
    <row r="133" ht="16.5" customHeight="1">
      <c r="K133" s="102" t="s">
        <v>346</v>
      </c>
    </row>
    <row r="134" ht="16.5" customHeight="1">
      <c r="A134" s="8" t="s">
        <v>289</v>
      </c>
      <c r="B134" s="34"/>
      <c r="C134" s="71">
        <f>C10*(4.57*(C25-H25)/1000)</f>
        <v>75.36844</v>
      </c>
      <c r="D134" s="39" t="s">
        <v>290</v>
      </c>
      <c r="F134" s="37" t="s">
        <v>515</v>
      </c>
      <c r="H134" s="106">
        <f>C124*C128*C126*(((H127*(C135/(1.014*100))*C137)-H30)/9.17)*(1.024^((C28)-20))</f>
        <v>0.01913600463</v>
      </c>
    </row>
    <row r="135" ht="12.75" customHeight="1">
      <c r="A135" s="89" t="s">
        <v>516</v>
      </c>
      <c r="B135" s="34"/>
      <c r="C135" s="71">
        <f>(H124*100)+(9.79*C129/2)</f>
        <v>113.6375</v>
      </c>
      <c r="D135" s="39" t="s">
        <v>327</v>
      </c>
      <c r="F135" s="34" t="s">
        <v>517</v>
      </c>
      <c r="G135" s="34"/>
      <c r="H135" s="115">
        <f>(C134/H134)*28.97/(0.209*32*C130*24)</f>
        <v>592.376746</v>
      </c>
      <c r="I135" s="108" t="s">
        <v>518</v>
      </c>
      <c r="K135" s="8" t="s">
        <v>519</v>
      </c>
    </row>
    <row r="136" ht="16.5" customHeight="1">
      <c r="A136" s="34" t="s">
        <v>332</v>
      </c>
      <c r="F136" s="34" t="s">
        <v>520</v>
      </c>
      <c r="H136" s="115">
        <f>H135*(H110)/(H109+273.15)*((C26+273.15)/H137)</f>
        <v>488.3040008</v>
      </c>
      <c r="I136" s="108" t="s">
        <v>521</v>
      </c>
      <c r="K136" s="8" t="s">
        <v>522</v>
      </c>
      <c r="M136" s="27"/>
    </row>
    <row r="137" ht="16.5" customHeight="1">
      <c r="A137" s="34" t="s">
        <v>523</v>
      </c>
      <c r="C137" s="71">
        <f>(-0.00007044*(C26^3))+(0.00765*(C26^2))-(0.4006*C26)+14.6</f>
        <v>10.074515</v>
      </c>
      <c r="D137" s="39" t="s">
        <v>50</v>
      </c>
      <c r="E137" s="34" t="s">
        <v>524</v>
      </c>
      <c r="H137" s="116">
        <f>(((H124+H129)*100)+(9.79*C129))/100</f>
        <v>1.27975</v>
      </c>
      <c r="I137" s="117" t="s">
        <v>278</v>
      </c>
    </row>
    <row r="138" ht="15.75" customHeight="1">
      <c r="A138" s="89" t="s">
        <v>338</v>
      </c>
      <c r="K138" s="8" t="s">
        <v>355</v>
      </c>
    </row>
    <row r="139" ht="12.75" customHeight="1">
      <c r="K139" s="102" t="s">
        <v>358</v>
      </c>
    </row>
    <row r="140" ht="12.75" customHeight="1"/>
    <row r="141" ht="12.75" customHeight="1">
      <c r="A141" s="31" t="s">
        <v>341</v>
      </c>
      <c r="K141" s="34" t="s">
        <v>525</v>
      </c>
    </row>
    <row r="142" ht="12.75" customHeight="1">
      <c r="K142" s="8" t="s">
        <v>360</v>
      </c>
    </row>
    <row r="143" ht="12.75" customHeight="1">
      <c r="A143" s="111" t="s">
        <v>343</v>
      </c>
      <c r="B143" s="37" t="s">
        <v>344</v>
      </c>
      <c r="D143" s="34"/>
      <c r="F143" s="38">
        <v>80.0</v>
      </c>
      <c r="G143" s="39" t="s">
        <v>50</v>
      </c>
    </row>
    <row r="144" ht="12.75" customHeight="1"/>
    <row r="145" ht="12.75" customHeight="1">
      <c r="A145" s="111" t="s">
        <v>347</v>
      </c>
      <c r="K145" s="8" t="s">
        <v>526</v>
      </c>
    </row>
    <row r="146" ht="12.75" customHeight="1">
      <c r="I146" s="36"/>
      <c r="K146" s="102" t="s">
        <v>527</v>
      </c>
    </row>
    <row r="147" ht="17.25" customHeight="1">
      <c r="A147" s="37" t="s">
        <v>528</v>
      </c>
      <c r="B147" s="37"/>
      <c r="C147" s="93">
        <v>50.0</v>
      </c>
      <c r="D147" s="36" t="s">
        <v>350</v>
      </c>
      <c r="F147" s="37" t="s">
        <v>529</v>
      </c>
      <c r="G147" s="37"/>
      <c r="H147" s="93">
        <v>84.0</v>
      </c>
      <c r="I147" s="36" t="s">
        <v>350</v>
      </c>
    </row>
    <row r="148" ht="12.75" customHeight="1"/>
    <row r="149" ht="18.0" customHeight="1">
      <c r="A149" s="37" t="s">
        <v>353</v>
      </c>
      <c r="B149" s="34"/>
      <c r="D149" s="66">
        <v>7.14</v>
      </c>
      <c r="E149" s="33" t="s">
        <v>530</v>
      </c>
      <c r="K149" s="10"/>
      <c r="L149" s="11"/>
      <c r="M149" s="11"/>
      <c r="N149" s="12"/>
      <c r="O149" s="12"/>
      <c r="P149" s="13"/>
      <c r="Q149" s="11"/>
      <c r="R149" s="14"/>
    </row>
    <row r="150" ht="12.75" customHeight="1">
      <c r="A150" s="37" t="s">
        <v>356</v>
      </c>
      <c r="B150" s="34"/>
      <c r="D150" s="66">
        <v>3.57</v>
      </c>
      <c r="E150" s="33" t="s">
        <v>531</v>
      </c>
      <c r="K150" s="15" t="s">
        <v>39</v>
      </c>
      <c r="L150" s="16"/>
      <c r="M150" s="16"/>
      <c r="N150" s="17"/>
      <c r="O150" s="17"/>
      <c r="P150" s="16"/>
      <c r="R150" s="18"/>
    </row>
    <row r="151" ht="18.75" customHeight="1">
      <c r="K151" s="20"/>
      <c r="M151" s="21" t="s">
        <v>40</v>
      </c>
      <c r="R151" s="18"/>
    </row>
    <row r="152" ht="18.0" customHeight="1">
      <c r="A152" s="32" t="s">
        <v>322</v>
      </c>
      <c r="K152" s="22"/>
      <c r="L152" s="23"/>
      <c r="M152" s="23"/>
      <c r="N152" s="23"/>
      <c r="O152" s="23"/>
      <c r="P152" s="23"/>
      <c r="Q152" s="23"/>
      <c r="R152" s="24"/>
    </row>
    <row r="153" ht="12.75" customHeight="1"/>
    <row r="154" ht="12.75" customHeight="1">
      <c r="A154" s="8" t="s">
        <v>361</v>
      </c>
      <c r="B154" s="34"/>
      <c r="D154" s="71">
        <f>F143+((C11-H25)*D149)-G12-D150*(C11-H96)</f>
        <v>54.27669167</v>
      </c>
      <c r="E154" s="37" t="s">
        <v>532</v>
      </c>
      <c r="K154" s="25" t="s">
        <v>533</v>
      </c>
    </row>
    <row r="155" ht="12.75" customHeight="1">
      <c r="A155" s="8" t="s">
        <v>363</v>
      </c>
      <c r="B155" s="34"/>
      <c r="D155" s="71">
        <f>C10*D154/1000</f>
        <v>41.25028567</v>
      </c>
      <c r="E155" s="37" t="s">
        <v>534</v>
      </c>
    </row>
    <row r="156" ht="12.75" customHeight="1"/>
    <row r="157" ht="12.75" customHeight="1">
      <c r="A157" s="44" t="s">
        <v>366</v>
      </c>
    </row>
    <row r="158" ht="12.75" customHeight="1"/>
    <row r="159" ht="12.75" customHeight="1">
      <c r="A159" s="8" t="s">
        <v>535</v>
      </c>
      <c r="B159" s="34"/>
      <c r="D159" s="71">
        <f>D155*H147/C147</f>
        <v>69.30047992</v>
      </c>
      <c r="E159" s="37" t="s">
        <v>536</v>
      </c>
    </row>
    <row r="160" ht="12.75" customHeight="1"/>
    <row r="161" ht="12.75" customHeight="1">
      <c r="A161" s="31" t="s">
        <v>537</v>
      </c>
    </row>
    <row r="162" ht="12.75" customHeight="1"/>
    <row r="163" ht="12.75" customHeight="1">
      <c r="A163" s="111" t="s">
        <v>302</v>
      </c>
      <c r="B163" s="37" t="s">
        <v>538</v>
      </c>
      <c r="D163" s="34"/>
      <c r="F163" s="38" t="s">
        <v>539</v>
      </c>
    </row>
    <row r="164" ht="12.75" customHeight="1">
      <c r="B164" s="8" t="s">
        <v>540</v>
      </c>
      <c r="F164" s="38">
        <v>4.6</v>
      </c>
      <c r="G164" s="37" t="s">
        <v>541</v>
      </c>
    </row>
    <row r="165" ht="12.75" customHeight="1">
      <c r="B165" s="8" t="s">
        <v>542</v>
      </c>
      <c r="F165" s="38">
        <v>1.5</v>
      </c>
      <c r="G165" s="37" t="s">
        <v>543</v>
      </c>
    </row>
    <row r="166" ht="12.75" customHeight="1"/>
    <row r="167" ht="12.75" customHeight="1">
      <c r="A167" s="32" t="s">
        <v>322</v>
      </c>
    </row>
    <row r="168" ht="12.75" customHeight="1"/>
    <row r="169" ht="12.75" customHeight="1">
      <c r="A169" s="8" t="s">
        <v>544</v>
      </c>
      <c r="B169" s="34"/>
      <c r="D169" s="71">
        <f>F164/F165</f>
        <v>3.066666667</v>
      </c>
      <c r="E169" s="37" t="s">
        <v>545</v>
      </c>
    </row>
    <row r="170" ht="12.75" customHeight="1">
      <c r="A170" s="8" t="s">
        <v>546</v>
      </c>
      <c r="B170" s="34"/>
      <c r="D170" s="71">
        <f>C91*D169/1000</f>
        <v>73.88213333</v>
      </c>
      <c r="E170" s="37" t="s">
        <v>547</v>
      </c>
    </row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>
      <c r="A200" s="8" t="s">
        <v>379</v>
      </c>
    </row>
    <row r="201" ht="12.75" customHeight="1">
      <c r="A201" s="8" t="s">
        <v>141</v>
      </c>
    </row>
    <row r="202" ht="12.75" customHeight="1"/>
    <row r="203" ht="12.75" customHeight="1"/>
    <row r="204" ht="12.75" customHeight="1"/>
    <row r="205" ht="12.75" customHeight="1">
      <c r="A205" s="122">
        <v>2.0</v>
      </c>
    </row>
    <row r="206" ht="12.75" customHeight="1">
      <c r="A206" s="122">
        <v>3.0</v>
      </c>
    </row>
    <row r="207" ht="12.75" customHeight="1">
      <c r="A207" s="122">
        <v>4.0</v>
      </c>
    </row>
    <row r="208" ht="12.75" customHeight="1">
      <c r="A208" s="122">
        <v>5.0</v>
      </c>
    </row>
    <row r="209" ht="12.75" customHeight="1">
      <c r="A209" s="122">
        <v>6.0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53:I53"/>
    <mergeCell ref="K104:T104"/>
    <mergeCell ref="O125:S125"/>
    <mergeCell ref="K129:V129"/>
    <mergeCell ref="K133:R133"/>
    <mergeCell ref="K139:V139"/>
    <mergeCell ref="K146:U146"/>
    <mergeCell ref="M151:Q151"/>
  </mergeCells>
  <dataValidations>
    <dataValidation type="list" allowBlank="1" showErrorMessage="1" sqref="H53">
      <formula1>A$200:A$201</formula1>
    </dataValidation>
    <dataValidation type="list" allowBlank="1" showErrorMessage="1" sqref="H27">
      <formula1>A$205:A$209</formula1>
    </dataValidation>
  </dataValidations>
  <hyperlinks>
    <hyperlink r:id="rId1" location="p2001c2fa9960220001" ref="H56"/>
    <hyperlink r:id="rId2" ref="K103"/>
    <hyperlink r:id="rId3" ref="K104"/>
    <hyperlink r:id="rId4" ref="K125"/>
    <hyperlink r:id="rId5" ref="K128"/>
    <hyperlink r:id="rId6" ref="K129"/>
    <hyperlink r:id="rId7" ref="M136"/>
    <hyperlink r:id="rId8" ref="K139"/>
    <hyperlink r:id="rId9" ref="K146"/>
    <hyperlink r:id="rId10" ref="M151"/>
  </hyperlinks>
  <printOptions/>
  <pageMargins bottom="0.52" footer="0.0" header="0.0" left="0.66" right="0.52" top="0.52"/>
  <pageSetup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>
      <c r="B3" s="1" t="s">
        <v>548</v>
      </c>
    </row>
    <row r="4" ht="12.75" customHeight="1">
      <c r="G4" s="34"/>
      <c r="H4" s="34"/>
      <c r="I4" s="34"/>
    </row>
    <row r="5" ht="18.0" customHeight="1">
      <c r="B5" s="34"/>
      <c r="C5" s="39" t="s">
        <v>549</v>
      </c>
      <c r="G5" s="67"/>
      <c r="H5" s="67"/>
      <c r="I5" s="67"/>
    </row>
    <row r="6" ht="18.0" customHeight="1">
      <c r="B6" s="124" t="s">
        <v>550</v>
      </c>
      <c r="C6" s="124" t="s">
        <v>50</v>
      </c>
    </row>
    <row r="7" ht="18.0" customHeight="1">
      <c r="B7" s="39">
        <v>0.0</v>
      </c>
      <c r="C7" s="39">
        <v>14.62</v>
      </c>
    </row>
    <row r="8" ht="18.0" customHeight="1">
      <c r="B8" s="39">
        <v>1.0</v>
      </c>
      <c r="C8" s="39">
        <v>14.22</v>
      </c>
    </row>
    <row r="9" ht="18.0" customHeight="1">
      <c r="B9" s="39">
        <v>2.0</v>
      </c>
      <c r="C9" s="39">
        <v>13.83</v>
      </c>
    </row>
    <row r="10" ht="18.0" customHeight="1">
      <c r="B10" s="39">
        <v>3.0</v>
      </c>
      <c r="C10" s="39">
        <v>13.46</v>
      </c>
    </row>
    <row r="11" ht="18.0" customHeight="1">
      <c r="B11" s="39">
        <v>4.0</v>
      </c>
      <c r="C11" s="39">
        <v>13.11</v>
      </c>
    </row>
    <row r="12" ht="18.0" customHeight="1">
      <c r="B12" s="39">
        <v>5.0</v>
      </c>
      <c r="C12" s="39">
        <v>12.77</v>
      </c>
    </row>
    <row r="13" ht="18.0" customHeight="1">
      <c r="B13" s="39">
        <v>6.0</v>
      </c>
      <c r="C13" s="39">
        <v>12.45</v>
      </c>
    </row>
    <row r="14" ht="18.0" customHeight="1">
      <c r="B14" s="39">
        <v>7.0</v>
      </c>
      <c r="C14" s="39">
        <v>12.14</v>
      </c>
    </row>
    <row r="15" ht="18.0" customHeight="1">
      <c r="B15" s="39">
        <v>8.0</v>
      </c>
      <c r="C15" s="39">
        <v>11.84</v>
      </c>
    </row>
    <row r="16" ht="18.0" customHeight="1">
      <c r="B16" s="39">
        <v>9.0</v>
      </c>
      <c r="C16" s="39">
        <v>11.56</v>
      </c>
    </row>
    <row r="17" ht="18.0" customHeight="1">
      <c r="B17" s="39">
        <v>10.0</v>
      </c>
      <c r="C17" s="39">
        <v>11.29</v>
      </c>
    </row>
    <row r="18" ht="18.0" customHeight="1">
      <c r="B18" s="39">
        <v>11.0</v>
      </c>
      <c r="C18" s="39">
        <v>11.03</v>
      </c>
    </row>
    <row r="19" ht="18.0" customHeight="1">
      <c r="B19" s="39">
        <v>12.0</v>
      </c>
      <c r="C19" s="39">
        <v>10.78</v>
      </c>
    </row>
    <row r="20" ht="18.0" customHeight="1">
      <c r="B20" s="39">
        <v>13.0</v>
      </c>
      <c r="C20" s="39">
        <v>10.54</v>
      </c>
    </row>
    <row r="21" ht="18.0" customHeight="1">
      <c r="B21" s="39">
        <v>14.0</v>
      </c>
      <c r="C21" s="39">
        <v>10.3</v>
      </c>
    </row>
    <row r="22" ht="18.0" customHeight="1">
      <c r="B22" s="39">
        <v>15.0</v>
      </c>
      <c r="C22" s="39">
        <v>10.08</v>
      </c>
    </row>
    <row r="23" ht="18.0" customHeight="1">
      <c r="B23" s="39">
        <v>16.0</v>
      </c>
      <c r="C23" s="39">
        <v>9.87</v>
      </c>
    </row>
    <row r="24" ht="18.0" customHeight="1">
      <c r="B24" s="39">
        <v>17.0</v>
      </c>
      <c r="C24" s="125">
        <v>9.66</v>
      </c>
      <c r="D24" s="126" t="s">
        <v>551</v>
      </c>
      <c r="E24" s="126"/>
      <c r="F24" s="126"/>
    </row>
    <row r="25" ht="18.0" customHeight="1">
      <c r="B25" s="39">
        <v>18.0</v>
      </c>
      <c r="C25" s="39">
        <v>9.47</v>
      </c>
      <c r="D25" s="126"/>
      <c r="E25" s="126"/>
      <c r="F25" s="126"/>
    </row>
    <row r="26" ht="18.0" customHeight="1">
      <c r="B26" s="39">
        <v>19.0</v>
      </c>
      <c r="C26" s="39">
        <v>9.28</v>
      </c>
      <c r="E26" s="127" t="s">
        <v>552</v>
      </c>
    </row>
    <row r="27" ht="18.0" customHeight="1">
      <c r="B27" s="39">
        <v>20.0</v>
      </c>
      <c r="C27" s="39">
        <v>9.09</v>
      </c>
      <c r="H27" s="126"/>
      <c r="I27" s="126"/>
    </row>
    <row r="28" ht="18.0" customHeight="1">
      <c r="B28" s="39">
        <v>21.0</v>
      </c>
      <c r="C28" s="39">
        <v>8.92</v>
      </c>
      <c r="H28" s="126"/>
      <c r="I28" s="126"/>
    </row>
    <row r="29" ht="18.0" customHeight="1">
      <c r="B29" s="39">
        <v>22.0</v>
      </c>
      <c r="C29" s="39">
        <v>8.74</v>
      </c>
    </row>
    <row r="30" ht="18.0" customHeight="1">
      <c r="B30" s="39">
        <v>23.0</v>
      </c>
      <c r="C30" s="39">
        <v>8.58</v>
      </c>
      <c r="G30" s="126"/>
    </row>
    <row r="31" ht="18.0" customHeight="1">
      <c r="B31" s="39">
        <v>24.0</v>
      </c>
      <c r="C31" s="39">
        <v>8.42</v>
      </c>
    </row>
    <row r="32" ht="18.0" customHeight="1">
      <c r="B32" s="39">
        <v>25.0</v>
      </c>
      <c r="C32" s="39">
        <v>8.26</v>
      </c>
    </row>
    <row r="33" ht="18.0" customHeight="1">
      <c r="B33" s="39">
        <v>26.0</v>
      </c>
      <c r="C33" s="39">
        <v>8.11</v>
      </c>
    </row>
    <row r="34" ht="18.0" customHeight="1">
      <c r="B34" s="39">
        <v>27.0</v>
      </c>
      <c r="C34" s="39">
        <v>7.97</v>
      </c>
    </row>
    <row r="35" ht="18.0" customHeight="1">
      <c r="B35" s="39">
        <v>28.0</v>
      </c>
      <c r="C35" s="39">
        <v>7.83</v>
      </c>
    </row>
    <row r="36" ht="18.0" customHeight="1">
      <c r="B36" s="39">
        <v>29.0</v>
      </c>
      <c r="C36" s="39">
        <v>7.69</v>
      </c>
    </row>
    <row r="37" ht="18.0" customHeight="1">
      <c r="B37" s="39">
        <v>30.0</v>
      </c>
      <c r="C37" s="125">
        <v>7.56</v>
      </c>
    </row>
    <row r="38" ht="18.0" customHeight="1">
      <c r="B38" s="39">
        <v>31.0</v>
      </c>
      <c r="C38" s="125">
        <v>7.43</v>
      </c>
    </row>
    <row r="39" ht="18.0" customHeight="1">
      <c r="B39" s="39">
        <v>32.0</v>
      </c>
      <c r="C39" s="125">
        <v>7.3</v>
      </c>
    </row>
    <row r="40" ht="18.0" customHeight="1">
      <c r="B40" s="39">
        <v>33.0</v>
      </c>
      <c r="C40" s="39">
        <v>7.18</v>
      </c>
    </row>
    <row r="41" ht="18.0" customHeight="1">
      <c r="B41" s="39">
        <v>34.0</v>
      </c>
      <c r="C41" s="39">
        <v>7.06</v>
      </c>
    </row>
    <row r="42" ht="18.0" customHeight="1">
      <c r="B42" s="39">
        <v>35.0</v>
      </c>
      <c r="C42" s="125">
        <v>6.95</v>
      </c>
    </row>
    <row r="43" ht="12.75" customHeight="1">
      <c r="B43" s="39"/>
      <c r="C43" s="125"/>
    </row>
    <row r="44" ht="12.75" customHeight="1">
      <c r="B44" s="39"/>
      <c r="C44" s="39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